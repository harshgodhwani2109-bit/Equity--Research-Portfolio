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80" windowWidth="19140" windowHeight="7340" activeTab="1"/>
  </bookViews>
  <sheets>
    <sheet name="Index" sheetId="1" r:id="rId1"/>
    <sheet name="Summary" sheetId="2" r:id="rId2"/>
    <sheet name="Assumptions" sheetId="3" r:id="rId3"/>
    <sheet name="Data Sheet" sheetId="4" r:id="rId4"/>
    <sheet name="Model" sheetId="5" r:id="rId5"/>
    <sheet name="Comps Data" sheetId="6" r:id="rId6"/>
    <sheet name="Ratio Analysis" sheetId="7" r:id="rId7"/>
    <sheet name="Market Return" sheetId="8" r:id="rId8"/>
    <sheet name="Beta &amp; WACC" sheetId="9" r:id="rId9"/>
    <sheet name="Beta from Regression" sheetId="10" r:id="rId10"/>
  </sheets>
  <calcPr calcId="144525"/>
</workbook>
</file>

<file path=xl/calcChain.xml><?xml version="1.0" encoding="utf-8"?>
<calcChain xmlns="http://schemas.openxmlformats.org/spreadsheetml/2006/main">
  <c r="C210" i="5" l="1"/>
  <c r="C208" i="5"/>
  <c r="G9" i="2" l="1"/>
  <c r="H9" i="2" s="1"/>
  <c r="I9" i="2" s="1"/>
  <c r="G10" i="2"/>
  <c r="H10" i="2" s="1"/>
  <c r="I10" i="2" s="1"/>
  <c r="G11" i="2"/>
  <c r="H11" i="2"/>
  <c r="I11" i="2" s="1"/>
  <c r="F9" i="2"/>
  <c r="F10" i="2"/>
  <c r="F11" i="2"/>
  <c r="F8" i="2"/>
  <c r="F7" i="2"/>
  <c r="E11" i="2"/>
  <c r="E10" i="2"/>
  <c r="E9" i="2"/>
  <c r="D11" i="2"/>
  <c r="D10" i="2"/>
  <c r="D9" i="2"/>
  <c r="C11" i="2"/>
  <c r="C10" i="2"/>
  <c r="C9" i="2"/>
  <c r="D200" i="5" l="1"/>
  <c r="I200" i="5"/>
  <c r="E19" i="7"/>
  <c r="F19" i="7"/>
  <c r="G19" i="7"/>
  <c r="H19" i="7"/>
  <c r="I19" i="7"/>
  <c r="J19" i="7"/>
  <c r="K19" i="7"/>
  <c r="L19" i="7"/>
  <c r="M19" i="7"/>
  <c r="N19" i="7"/>
  <c r="O19" i="7"/>
  <c r="P19" i="7"/>
  <c r="Q19" i="7"/>
  <c r="D19" i="7"/>
  <c r="E36" i="7"/>
  <c r="F36" i="7"/>
  <c r="F37" i="7" s="1"/>
  <c r="G36" i="7"/>
  <c r="H36" i="7"/>
  <c r="I36" i="7"/>
  <c r="J36" i="7"/>
  <c r="J37" i="7" s="1"/>
  <c r="K36" i="7"/>
  <c r="L36" i="7"/>
  <c r="M36" i="7"/>
  <c r="M37" i="7" s="1"/>
  <c r="N36" i="7"/>
  <c r="N37" i="7" s="1"/>
  <c r="O36" i="7"/>
  <c r="P36" i="7"/>
  <c r="Q36" i="7"/>
  <c r="Q37" i="7" s="1"/>
  <c r="E37" i="7"/>
  <c r="G37" i="7"/>
  <c r="H37" i="7"/>
  <c r="I37" i="7"/>
  <c r="K37" i="7"/>
  <c r="L37" i="7"/>
  <c r="O37" i="7"/>
  <c r="P37" i="7"/>
  <c r="E38" i="7"/>
  <c r="F38" i="7"/>
  <c r="G38" i="7"/>
  <c r="G39" i="7" s="1"/>
  <c r="H38" i="7"/>
  <c r="H39" i="7" s="1"/>
  <c r="I38" i="7"/>
  <c r="J38" i="7"/>
  <c r="K38" i="7"/>
  <c r="L38" i="7"/>
  <c r="L39" i="7" s="1"/>
  <c r="M38" i="7"/>
  <c r="N38" i="7"/>
  <c r="N39" i="7" s="1"/>
  <c r="O38" i="7"/>
  <c r="O39" i="7" s="1"/>
  <c r="P38" i="7"/>
  <c r="P39" i="7" s="1"/>
  <c r="Q38" i="7"/>
  <c r="E39" i="7"/>
  <c r="F39" i="7"/>
  <c r="I39" i="7"/>
  <c r="J39" i="7"/>
  <c r="K39" i="7"/>
  <c r="M39" i="7"/>
  <c r="Q39" i="7"/>
  <c r="E40" i="7"/>
  <c r="F40" i="7"/>
  <c r="F41" i="7" s="1"/>
  <c r="G40" i="7"/>
  <c r="H40" i="7"/>
  <c r="I40" i="7"/>
  <c r="J40" i="7"/>
  <c r="J41" i="7" s="1"/>
  <c r="K40" i="7"/>
  <c r="K41" i="7" s="1"/>
  <c r="L40" i="7"/>
  <c r="M40" i="7"/>
  <c r="N40" i="7"/>
  <c r="N41" i="7" s="1"/>
  <c r="O40" i="7"/>
  <c r="O41" i="7" s="1"/>
  <c r="P40" i="7"/>
  <c r="P41" i="7" s="1"/>
  <c r="Q40" i="7"/>
  <c r="E41" i="7"/>
  <c r="G41" i="7"/>
  <c r="H41" i="7"/>
  <c r="I41" i="7"/>
  <c r="L41" i="7"/>
  <c r="M41" i="7"/>
  <c r="Q41" i="7"/>
  <c r="E42" i="7"/>
  <c r="F42" i="7"/>
  <c r="G42" i="7"/>
  <c r="H42" i="7"/>
  <c r="I42" i="7"/>
  <c r="J42" i="7"/>
  <c r="K42" i="7"/>
  <c r="L42" i="7"/>
  <c r="M42" i="7"/>
  <c r="N42" i="7"/>
  <c r="O42" i="7"/>
  <c r="P42" i="7"/>
  <c r="Q42" i="7"/>
  <c r="D42" i="7"/>
  <c r="D40" i="7"/>
  <c r="D41" i="7" s="1"/>
  <c r="D38" i="7"/>
  <c r="D39" i="7" s="1"/>
  <c r="D37" i="7"/>
  <c r="D36" i="7"/>
  <c r="D29" i="7"/>
  <c r="E29" i="7"/>
  <c r="F29" i="7"/>
  <c r="G29" i="7"/>
  <c r="H29" i="7"/>
  <c r="I29" i="7"/>
  <c r="J29" i="7"/>
  <c r="K29" i="7"/>
  <c r="L29" i="7"/>
  <c r="M29" i="7"/>
  <c r="N29" i="7"/>
  <c r="O29" i="7"/>
  <c r="P29" i="7"/>
  <c r="Q29" i="7"/>
  <c r="D30" i="7"/>
  <c r="E30" i="7"/>
  <c r="F30" i="7"/>
  <c r="G30" i="7"/>
  <c r="H30" i="7"/>
  <c r="I30" i="7"/>
  <c r="J30" i="7"/>
  <c r="K30" i="7"/>
  <c r="L30" i="7"/>
  <c r="M30" i="7"/>
  <c r="N30" i="7"/>
  <c r="O30" i="7"/>
  <c r="P30" i="7"/>
  <c r="Q30" i="7"/>
  <c r="D31" i="7"/>
  <c r="E31" i="7"/>
  <c r="F31" i="7"/>
  <c r="G31" i="7"/>
  <c r="H31" i="7"/>
  <c r="I31" i="7"/>
  <c r="J31" i="7"/>
  <c r="K31" i="7"/>
  <c r="L31" i="7"/>
  <c r="M31" i="7"/>
  <c r="N31" i="7"/>
  <c r="O31" i="7"/>
  <c r="P31" i="7"/>
  <c r="Q31" i="7"/>
  <c r="D32" i="7"/>
  <c r="E32" i="7"/>
  <c r="F32" i="7"/>
  <c r="G32" i="7"/>
  <c r="H32" i="7"/>
  <c r="I32" i="7"/>
  <c r="J32" i="7"/>
  <c r="K32" i="7"/>
  <c r="L32" i="7"/>
  <c r="M32" i="7"/>
  <c r="N32" i="7"/>
  <c r="O32" i="7"/>
  <c r="P32" i="7"/>
  <c r="Q32" i="7"/>
  <c r="D33" i="7"/>
  <c r="E33" i="7"/>
  <c r="F33" i="7"/>
  <c r="G33" i="7"/>
  <c r="H33" i="7"/>
  <c r="I33" i="7"/>
  <c r="J33" i="7"/>
  <c r="K33" i="7"/>
  <c r="L33" i="7"/>
  <c r="M33" i="7"/>
  <c r="N33" i="7"/>
  <c r="O33" i="7"/>
  <c r="P33" i="7"/>
  <c r="Q33" i="7"/>
  <c r="C33" i="7"/>
  <c r="C32" i="7"/>
  <c r="C31" i="7"/>
  <c r="C30" i="7"/>
  <c r="C29" i="7"/>
  <c r="E23" i="7"/>
  <c r="F23" i="7"/>
  <c r="G23" i="7"/>
  <c r="H23" i="7"/>
  <c r="I23" i="7"/>
  <c r="J23" i="7"/>
  <c r="K23" i="7"/>
  <c r="L23" i="7"/>
  <c r="M23" i="7"/>
  <c r="N23" i="7"/>
  <c r="O23" i="7"/>
  <c r="P23" i="7"/>
  <c r="Q23" i="7"/>
  <c r="E24" i="7"/>
  <c r="F24" i="7"/>
  <c r="G24" i="7"/>
  <c r="H24" i="7"/>
  <c r="I24" i="7"/>
  <c r="J24" i="7"/>
  <c r="K24" i="7"/>
  <c r="L24" i="7"/>
  <c r="M24" i="7"/>
  <c r="N24" i="7"/>
  <c r="O24" i="7"/>
  <c r="P24" i="7"/>
  <c r="Q24" i="7"/>
  <c r="E25" i="7"/>
  <c r="F25" i="7"/>
  <c r="G25" i="7"/>
  <c r="H25" i="7"/>
  <c r="I25" i="7"/>
  <c r="J25" i="7"/>
  <c r="K25" i="7"/>
  <c r="L25" i="7"/>
  <c r="M25" i="7"/>
  <c r="N25" i="7"/>
  <c r="O25" i="7"/>
  <c r="P25" i="7"/>
  <c r="Q25" i="7"/>
  <c r="E26" i="7"/>
  <c r="F26" i="7"/>
  <c r="G26" i="7"/>
  <c r="H26" i="7"/>
  <c r="I26" i="7"/>
  <c r="J26" i="7"/>
  <c r="K26" i="7"/>
  <c r="L26" i="7"/>
  <c r="M26" i="7"/>
  <c r="N26" i="7"/>
  <c r="O26" i="7"/>
  <c r="P26" i="7"/>
  <c r="Q26" i="7"/>
  <c r="D23" i="7"/>
  <c r="D24" i="7"/>
  <c r="D25" i="7"/>
  <c r="D26" i="7"/>
  <c r="C25" i="7"/>
  <c r="C24" i="7"/>
  <c r="C23" i="7"/>
  <c r="E15" i="7"/>
  <c r="F15" i="7"/>
  <c r="G15" i="7"/>
  <c r="H15" i="7"/>
  <c r="I15" i="7"/>
  <c r="J15" i="7"/>
  <c r="K15" i="7"/>
  <c r="L15" i="7"/>
  <c r="M15" i="7"/>
  <c r="N15" i="7"/>
  <c r="O15" i="7"/>
  <c r="P15" i="7"/>
  <c r="Q15" i="7"/>
  <c r="E16" i="7"/>
  <c r="F16" i="7"/>
  <c r="G16" i="7"/>
  <c r="H16" i="7"/>
  <c r="I16" i="7"/>
  <c r="J16" i="7"/>
  <c r="K16" i="7"/>
  <c r="L16" i="7"/>
  <c r="M16" i="7"/>
  <c r="N16" i="7"/>
  <c r="O16" i="7"/>
  <c r="P16" i="7"/>
  <c r="Q16" i="7"/>
  <c r="E17" i="7"/>
  <c r="F17" i="7"/>
  <c r="G17" i="7"/>
  <c r="H17" i="7"/>
  <c r="I17" i="7"/>
  <c r="J17" i="7"/>
  <c r="K17" i="7"/>
  <c r="L17" i="7"/>
  <c r="M17" i="7"/>
  <c r="N17" i="7"/>
  <c r="O17" i="7"/>
  <c r="P17" i="7"/>
  <c r="Q17" i="7"/>
  <c r="E18" i="7"/>
  <c r="F18" i="7"/>
  <c r="G18" i="7"/>
  <c r="H18" i="7"/>
  <c r="I18" i="7"/>
  <c r="J18" i="7"/>
  <c r="K18" i="7"/>
  <c r="L18" i="7"/>
  <c r="M18" i="7"/>
  <c r="N18" i="7"/>
  <c r="O18" i="7"/>
  <c r="P18" i="7"/>
  <c r="Q18" i="7"/>
  <c r="E20" i="7"/>
  <c r="F20" i="7"/>
  <c r="G20" i="7"/>
  <c r="H20" i="7"/>
  <c r="I20" i="7"/>
  <c r="J20" i="7"/>
  <c r="K20" i="7"/>
  <c r="L20" i="7"/>
  <c r="M20" i="7"/>
  <c r="N20" i="7"/>
  <c r="O20" i="7"/>
  <c r="P20" i="7"/>
  <c r="Q20" i="7"/>
  <c r="D18" i="7"/>
  <c r="D20" i="7"/>
  <c r="C18" i="7"/>
  <c r="D17" i="7"/>
  <c r="D16" i="7"/>
  <c r="D15" i="7"/>
  <c r="D6" i="7"/>
  <c r="E6" i="7"/>
  <c r="F6" i="7"/>
  <c r="G6" i="7"/>
  <c r="H6" i="7"/>
  <c r="I6" i="7"/>
  <c r="J6" i="7"/>
  <c r="K6" i="7"/>
  <c r="L6" i="7"/>
  <c r="M6" i="7"/>
  <c r="N6" i="7"/>
  <c r="O6" i="7"/>
  <c r="P6" i="7"/>
  <c r="Q6" i="7"/>
  <c r="D7" i="7"/>
  <c r="E7" i="7"/>
  <c r="F7" i="7"/>
  <c r="G7" i="7"/>
  <c r="H7" i="7"/>
  <c r="I7" i="7"/>
  <c r="J7" i="7"/>
  <c r="K7" i="7"/>
  <c r="L7" i="7"/>
  <c r="M7" i="7"/>
  <c r="N7" i="7"/>
  <c r="O7" i="7"/>
  <c r="P7" i="7"/>
  <c r="Q7" i="7"/>
  <c r="D8" i="7"/>
  <c r="E8" i="7"/>
  <c r="F8" i="7"/>
  <c r="G8" i="7"/>
  <c r="H8" i="7"/>
  <c r="I8" i="7"/>
  <c r="J8" i="7"/>
  <c r="K8" i="7"/>
  <c r="L8" i="7"/>
  <c r="M8" i="7"/>
  <c r="N8" i="7"/>
  <c r="O8" i="7"/>
  <c r="P8" i="7"/>
  <c r="Q8" i="7"/>
  <c r="D9" i="7"/>
  <c r="E9" i="7"/>
  <c r="F9" i="7"/>
  <c r="G9" i="7"/>
  <c r="H9" i="7"/>
  <c r="I9" i="7"/>
  <c r="J9" i="7"/>
  <c r="K9" i="7"/>
  <c r="L9" i="7"/>
  <c r="M9" i="7"/>
  <c r="N9" i="7"/>
  <c r="O9" i="7"/>
  <c r="P9" i="7"/>
  <c r="Q9" i="7"/>
  <c r="D10" i="7"/>
  <c r="E10" i="7"/>
  <c r="F10" i="7"/>
  <c r="G10" i="7"/>
  <c r="H10" i="7"/>
  <c r="I10" i="7"/>
  <c r="J10" i="7"/>
  <c r="K10" i="7"/>
  <c r="L10" i="7"/>
  <c r="M10" i="7"/>
  <c r="N10" i="7"/>
  <c r="O10" i="7"/>
  <c r="P10" i="7"/>
  <c r="Q10" i="7"/>
  <c r="D11" i="7"/>
  <c r="E11" i="7"/>
  <c r="F11" i="7"/>
  <c r="G11" i="7"/>
  <c r="H11" i="7"/>
  <c r="I11" i="7"/>
  <c r="J11" i="7"/>
  <c r="K11" i="7"/>
  <c r="L11" i="7"/>
  <c r="M11" i="7"/>
  <c r="N11" i="7"/>
  <c r="O11" i="7"/>
  <c r="P11" i="7"/>
  <c r="Q11" i="7"/>
  <c r="D12" i="7"/>
  <c r="E12" i="7"/>
  <c r="F12" i="7"/>
  <c r="G12" i="7"/>
  <c r="H12" i="7"/>
  <c r="I12" i="7"/>
  <c r="J12" i="7"/>
  <c r="K12" i="7"/>
  <c r="L12" i="7"/>
  <c r="M12" i="7"/>
  <c r="N12" i="7"/>
  <c r="O12" i="7"/>
  <c r="P12" i="7"/>
  <c r="Q12" i="7"/>
  <c r="C12" i="7"/>
  <c r="C11" i="7"/>
  <c r="C10" i="7"/>
  <c r="C9" i="7"/>
  <c r="C8" i="7"/>
  <c r="C7" i="7"/>
  <c r="C6" i="7"/>
  <c r="E3" i="7"/>
  <c r="F3" i="7"/>
  <c r="G3" i="7" s="1"/>
  <c r="H3" i="7" s="1"/>
  <c r="I3" i="7" s="1"/>
  <c r="J3" i="7" s="1"/>
  <c r="K3" i="7" s="1"/>
  <c r="L3" i="7" s="1"/>
  <c r="M3" i="7" s="1"/>
  <c r="N3" i="7" s="1"/>
  <c r="O3" i="7" s="1"/>
  <c r="P3" i="7" s="1"/>
  <c r="Q3" i="7" s="1"/>
  <c r="D3" i="7"/>
  <c r="B2" i="7"/>
  <c r="K195" i="5" l="1"/>
  <c r="K186" i="5"/>
  <c r="K187" i="5"/>
  <c r="K188" i="5"/>
  <c r="K189" i="5"/>
  <c r="K190" i="5"/>
  <c r="K185" i="5"/>
  <c r="D249" i="5" l="1"/>
  <c r="E249" i="5"/>
  <c r="H249" i="5"/>
  <c r="G249" i="5"/>
  <c r="C160" i="5"/>
  <c r="I237" i="5"/>
  <c r="H237" i="5"/>
  <c r="H241" i="5"/>
  <c r="F216" i="5"/>
  <c r="E216" i="5"/>
  <c r="F217" i="5"/>
  <c r="G217" i="5" s="1"/>
  <c r="D216" i="5"/>
  <c r="F218" i="5" s="1"/>
  <c r="E215" i="5"/>
  <c r="F215" i="5" s="1"/>
  <c r="G215" i="5" s="1"/>
  <c r="H215" i="5" s="1"/>
  <c r="I215" i="5" s="1"/>
  <c r="J215" i="5" s="1"/>
  <c r="K215" i="5" s="1"/>
  <c r="L215" i="5" s="1"/>
  <c r="M215" i="5" s="1"/>
  <c r="N215" i="5" s="1"/>
  <c r="D39" i="9"/>
  <c r="H217" i="5" l="1"/>
  <c r="G216" i="5"/>
  <c r="G218" i="5" s="1"/>
  <c r="E218" i="5"/>
  <c r="I241" i="5"/>
  <c r="I5"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D9" i="10"/>
  <c r="D10" i="10"/>
  <c r="D11" i="10"/>
  <c r="D12" i="10"/>
  <c r="D13" i="10"/>
  <c r="D14" i="10"/>
  <c r="D15" i="10"/>
  <c r="D16" i="10"/>
  <c r="D17" i="10"/>
  <c r="D18" i="10"/>
  <c r="D19" i="10"/>
  <c r="D20" i="10"/>
  <c r="D21" i="10"/>
  <c r="D22" i="10"/>
  <c r="D23" i="10"/>
  <c r="D24" i="10"/>
  <c r="D25" i="10"/>
  <c r="D26" i="10"/>
  <c r="D27" i="10"/>
  <c r="D28" i="10"/>
  <c r="D29" i="10"/>
  <c r="D30" i="10"/>
  <c r="D31" i="10"/>
  <c r="D32" i="10"/>
  <c r="D33" i="10"/>
  <c r="D34" i="10"/>
  <c r="D35" i="10"/>
  <c r="D36" i="10"/>
  <c r="D37" i="10"/>
  <c r="D38" i="10"/>
  <c r="D39" i="10"/>
  <c r="D40" i="10"/>
  <c r="D41" i="10"/>
  <c r="D42" i="10"/>
  <c r="D43" i="10"/>
  <c r="D44" i="10"/>
  <c r="D45" i="10"/>
  <c r="D46" i="10"/>
  <c r="D47" i="10"/>
  <c r="D48" i="10"/>
  <c r="D49" i="10"/>
  <c r="D50" i="10"/>
  <c r="D51" i="10"/>
  <c r="D52" i="10"/>
  <c r="D53" i="10"/>
  <c r="D54" i="10"/>
  <c r="D55" i="10"/>
  <c r="D56" i="10"/>
  <c r="D57" i="10"/>
  <c r="D58" i="10"/>
  <c r="D59" i="10"/>
  <c r="D60" i="10"/>
  <c r="D61" i="10"/>
  <c r="D62" i="10"/>
  <c r="D63" i="10"/>
  <c r="D64" i="10"/>
  <c r="D65" i="10"/>
  <c r="D66" i="10"/>
  <c r="D67" i="10"/>
  <c r="F8" i="10"/>
  <c r="D8" i="10"/>
  <c r="D46" i="9"/>
  <c r="D47" i="9" s="1"/>
  <c r="G20" i="9"/>
  <c r="D35" i="9" s="1"/>
  <c r="C207" i="5" s="1"/>
  <c r="H17" i="9"/>
  <c r="H18" i="9"/>
  <c r="G11" i="9"/>
  <c r="G12" i="9"/>
  <c r="G13" i="9"/>
  <c r="G14" i="9"/>
  <c r="G15" i="9"/>
  <c r="G10" i="9"/>
  <c r="F8" i="8"/>
  <c r="F9" i="8" s="1"/>
  <c r="L195" i="5"/>
  <c r="J195" i="5"/>
  <c r="G195" i="5"/>
  <c r="F195" i="5"/>
  <c r="D20" i="9" s="1"/>
  <c r="D30" i="9" s="1"/>
  <c r="D195" i="5"/>
  <c r="C211" i="5" s="1"/>
  <c r="H239" i="5" s="1"/>
  <c r="I239" i="5" s="1"/>
  <c r="C195" i="5"/>
  <c r="B195" i="5"/>
  <c r="B20" i="9" s="1"/>
  <c r="C186" i="5"/>
  <c r="D186" i="5"/>
  <c r="F186" i="5"/>
  <c r="D11" i="9" s="1"/>
  <c r="G186" i="5"/>
  <c r="J186" i="5"/>
  <c r="L186" i="5"/>
  <c r="C187" i="5"/>
  <c r="D187" i="5"/>
  <c r="F187" i="5"/>
  <c r="D12" i="9" s="1"/>
  <c r="G187" i="5"/>
  <c r="J187" i="5"/>
  <c r="L187" i="5"/>
  <c r="C188" i="5"/>
  <c r="D188" i="5"/>
  <c r="F188" i="5"/>
  <c r="D13" i="9" s="1"/>
  <c r="G188" i="5"/>
  <c r="J188" i="5"/>
  <c r="L188" i="5"/>
  <c r="C189" i="5"/>
  <c r="D189" i="5"/>
  <c r="F189" i="5"/>
  <c r="D14" i="9" s="1"/>
  <c r="G189" i="5"/>
  <c r="J189" i="5"/>
  <c r="L189" i="5"/>
  <c r="C190" i="5"/>
  <c r="D190" i="5"/>
  <c r="F190" i="5"/>
  <c r="D15" i="9" s="1"/>
  <c r="G190" i="5"/>
  <c r="J190" i="5"/>
  <c r="L190" i="5"/>
  <c r="L185" i="5"/>
  <c r="J185" i="5"/>
  <c r="G185" i="5"/>
  <c r="F185" i="5"/>
  <c r="D10" i="9" s="1"/>
  <c r="D185" i="5"/>
  <c r="C185" i="5"/>
  <c r="B186" i="5"/>
  <c r="B11" i="9" s="1"/>
  <c r="B187" i="5"/>
  <c r="B12" i="9" s="1"/>
  <c r="B188" i="5"/>
  <c r="B13" i="9" s="1"/>
  <c r="B189" i="5"/>
  <c r="B14" i="9" s="1"/>
  <c r="B190" i="5"/>
  <c r="B15" i="9" s="1"/>
  <c r="B185" i="5"/>
  <c r="B10" i="9" s="1"/>
  <c r="E185" i="5" l="1"/>
  <c r="C10" i="9" s="1"/>
  <c r="E10" i="9" s="1"/>
  <c r="E190" i="5"/>
  <c r="C15" i="9" s="1"/>
  <c r="F15" i="9" s="1"/>
  <c r="E186" i="5"/>
  <c r="C11" i="9" s="1"/>
  <c r="E195" i="5"/>
  <c r="C20" i="9" s="1"/>
  <c r="I217" i="5"/>
  <c r="H216" i="5"/>
  <c r="H218" i="5" s="1"/>
  <c r="E189" i="5"/>
  <c r="P189" i="5" s="1"/>
  <c r="E188" i="5"/>
  <c r="P188" i="5" s="1"/>
  <c r="H242" i="5"/>
  <c r="E187" i="5"/>
  <c r="C12" i="9" s="1"/>
  <c r="E12" i="9" s="1"/>
  <c r="I12" i="9" s="1"/>
  <c r="G198" i="5"/>
  <c r="G199" i="5" s="1"/>
  <c r="G200" i="5" s="1"/>
  <c r="I198" i="5" s="1"/>
  <c r="E198" i="5"/>
  <c r="E199" i="5" s="1"/>
  <c r="E200" i="5" s="1"/>
  <c r="H185" i="5"/>
  <c r="P185" i="5"/>
  <c r="H195" i="5"/>
  <c r="O195" i="5" s="1"/>
  <c r="P186" i="5"/>
  <c r="I242" i="5"/>
  <c r="G17" i="9"/>
  <c r="E11" i="9"/>
  <c r="I11" i="9" s="1"/>
  <c r="G18" i="9"/>
  <c r="F11" i="9"/>
  <c r="H189" i="5"/>
  <c r="H186" i="5"/>
  <c r="H190" i="5" l="1"/>
  <c r="O190" i="5" s="1"/>
  <c r="P195" i="5"/>
  <c r="H188" i="5"/>
  <c r="N195" i="5"/>
  <c r="E15" i="9"/>
  <c r="I15" i="9" s="1"/>
  <c r="P190" i="5"/>
  <c r="D29" i="9"/>
  <c r="D31" i="9" s="1"/>
  <c r="F20" i="9"/>
  <c r="P187" i="5"/>
  <c r="H187" i="5"/>
  <c r="O187" i="5" s="1"/>
  <c r="J217" i="5"/>
  <c r="I216" i="5"/>
  <c r="I218" i="5" s="1"/>
  <c r="C14" i="9"/>
  <c r="C13" i="9"/>
  <c r="F10" i="9"/>
  <c r="F12" i="9"/>
  <c r="E20" i="9"/>
  <c r="P192" i="5"/>
  <c r="N185" i="5"/>
  <c r="O185" i="5"/>
  <c r="I10" i="9"/>
  <c r="O186" i="5"/>
  <c r="N186" i="5"/>
  <c r="N190" i="5"/>
  <c r="O188" i="5"/>
  <c r="N188" i="5"/>
  <c r="N189" i="5"/>
  <c r="O189" i="5"/>
  <c r="P193" i="5" l="1"/>
  <c r="C200" i="5" s="1"/>
  <c r="F200" i="5" s="1"/>
  <c r="N187" i="5"/>
  <c r="N193" i="5" s="1"/>
  <c r="C198" i="5" s="1"/>
  <c r="D198" i="5" s="1"/>
  <c r="F198" i="5" s="1"/>
  <c r="H198" i="5" s="1"/>
  <c r="K217" i="5"/>
  <c r="J216" i="5"/>
  <c r="J218" i="5" s="1"/>
  <c r="E14" i="9"/>
  <c r="I14" i="9" s="1"/>
  <c r="F14" i="9"/>
  <c r="F13" i="9"/>
  <c r="E13" i="9"/>
  <c r="N192" i="5"/>
  <c r="H200" i="5"/>
  <c r="I20" i="9"/>
  <c r="D40" i="9"/>
  <c r="O192" i="5"/>
  <c r="O193" i="5"/>
  <c r="F258" i="5" l="1"/>
  <c r="C199" i="5"/>
  <c r="D199" i="5" s="1"/>
  <c r="F199" i="5" s="1"/>
  <c r="H199" i="5" s="1"/>
  <c r="L217" i="5"/>
  <c r="K216" i="5"/>
  <c r="K218" i="5" s="1"/>
  <c r="F17" i="9"/>
  <c r="D25" i="9" s="1"/>
  <c r="D26" i="9" s="1"/>
  <c r="I13" i="9"/>
  <c r="E18" i="9"/>
  <c r="E17" i="9"/>
  <c r="F18" i="9"/>
  <c r="E258" i="5" l="1"/>
  <c r="D258" i="5" s="1"/>
  <c r="G258" i="5"/>
  <c r="H258" i="5" s="1"/>
  <c r="M217" i="5"/>
  <c r="L216" i="5"/>
  <c r="L218" i="5" s="1"/>
  <c r="D42" i="9"/>
  <c r="D48" i="9" s="1"/>
  <c r="I18" i="9"/>
  <c r="D49" i="9" s="1"/>
  <c r="I17" i="9"/>
  <c r="I153" i="5"/>
  <c r="J153" i="5"/>
  <c r="K153" i="5"/>
  <c r="L153" i="5"/>
  <c r="M153" i="5"/>
  <c r="N153" i="5"/>
  <c r="O153" i="5"/>
  <c r="P153" i="5"/>
  <c r="Q153" i="5"/>
  <c r="I151" i="5"/>
  <c r="J151" i="5"/>
  <c r="K151" i="5"/>
  <c r="L151" i="5"/>
  <c r="M151" i="5"/>
  <c r="N151" i="5"/>
  <c r="O151" i="5"/>
  <c r="P151" i="5"/>
  <c r="Q151" i="5"/>
  <c r="H153" i="5"/>
  <c r="H151" i="5"/>
  <c r="B171" i="5"/>
  <c r="I176" i="5"/>
  <c r="J176" i="5"/>
  <c r="K176" i="5"/>
  <c r="L176" i="5"/>
  <c r="M176" i="5"/>
  <c r="N176" i="5"/>
  <c r="O176" i="5"/>
  <c r="P176" i="5"/>
  <c r="Q176" i="5"/>
  <c r="I177" i="5"/>
  <c r="J177" i="5"/>
  <c r="K177" i="5"/>
  <c r="L177" i="5"/>
  <c r="M177" i="5"/>
  <c r="N177" i="5"/>
  <c r="O177" i="5"/>
  <c r="P177" i="5"/>
  <c r="Q177" i="5"/>
  <c r="H177" i="5"/>
  <c r="H176" i="5"/>
  <c r="I174" i="5"/>
  <c r="J174" i="5"/>
  <c r="K174" i="5"/>
  <c r="L174" i="5"/>
  <c r="M174" i="5"/>
  <c r="N174" i="5"/>
  <c r="O174" i="5"/>
  <c r="P174" i="5"/>
  <c r="Q174" i="5"/>
  <c r="H174" i="5"/>
  <c r="I173" i="5"/>
  <c r="J173" i="5"/>
  <c r="K173" i="5"/>
  <c r="L173" i="5"/>
  <c r="M173" i="5"/>
  <c r="N173" i="5"/>
  <c r="O173" i="5"/>
  <c r="P173" i="5"/>
  <c r="Q173" i="5"/>
  <c r="H173" i="5"/>
  <c r="N217" i="5" l="1"/>
  <c r="N216" i="5" s="1"/>
  <c r="M216" i="5"/>
  <c r="M218" i="5" s="1"/>
  <c r="I97" i="5"/>
  <c r="J97" i="5"/>
  <c r="K97" i="5"/>
  <c r="L97" i="5"/>
  <c r="M97" i="5"/>
  <c r="N97" i="5"/>
  <c r="O97" i="5"/>
  <c r="P97" i="5"/>
  <c r="Q97" i="5"/>
  <c r="H97" i="5"/>
  <c r="I165" i="5"/>
  <c r="J165" i="5" s="1"/>
  <c r="K165" i="5" s="1"/>
  <c r="L165" i="5" s="1"/>
  <c r="M165" i="5" s="1"/>
  <c r="N165" i="5" s="1"/>
  <c r="O165" i="5" s="1"/>
  <c r="P165" i="5" s="1"/>
  <c r="Q165" i="5" s="1"/>
  <c r="H165" i="5"/>
  <c r="O216" i="5" l="1"/>
  <c r="N218" i="5"/>
  <c r="E151" i="5"/>
  <c r="F151" i="5"/>
  <c r="G151" i="5"/>
  <c r="D151" i="5"/>
  <c r="H148" i="5"/>
  <c r="E149" i="5"/>
  <c r="F149" i="5"/>
  <c r="G149" i="5"/>
  <c r="D149" i="5"/>
  <c r="C144" i="5"/>
  <c r="D135" i="5"/>
  <c r="E135" i="5"/>
  <c r="F135" i="5"/>
  <c r="G135" i="5"/>
  <c r="D136" i="5"/>
  <c r="E136" i="5"/>
  <c r="F136" i="5"/>
  <c r="G136" i="5"/>
  <c r="D137" i="5"/>
  <c r="E137" i="5"/>
  <c r="F137" i="5"/>
  <c r="G137" i="5"/>
  <c r="H137" i="5" s="1"/>
  <c r="I137" i="5" s="1"/>
  <c r="J137" i="5" s="1"/>
  <c r="K137" i="5" s="1"/>
  <c r="L137" i="5" s="1"/>
  <c r="M137" i="5" s="1"/>
  <c r="N137" i="5" s="1"/>
  <c r="O137" i="5" s="1"/>
  <c r="D138" i="5"/>
  <c r="E138" i="5"/>
  <c r="F138" i="5"/>
  <c r="G138" i="5"/>
  <c r="D131" i="5"/>
  <c r="E131" i="5"/>
  <c r="F131" i="5"/>
  <c r="G131" i="5"/>
  <c r="D132" i="5"/>
  <c r="E132" i="5"/>
  <c r="F132" i="5"/>
  <c r="G132" i="5"/>
  <c r="H132" i="5" s="1"/>
  <c r="I132" i="5" s="1"/>
  <c r="D133" i="5"/>
  <c r="D140" i="5" s="1"/>
  <c r="E133" i="5"/>
  <c r="E140" i="5" s="1"/>
  <c r="F133" i="5"/>
  <c r="C137" i="5"/>
  <c r="C136" i="5"/>
  <c r="C135" i="5"/>
  <c r="C132" i="5"/>
  <c r="C131" i="5"/>
  <c r="D129" i="5"/>
  <c r="E129" i="5" s="1"/>
  <c r="F129" i="5" s="1"/>
  <c r="G129" i="5" s="1"/>
  <c r="H129" i="5" s="1"/>
  <c r="I129" i="5" s="1"/>
  <c r="J129" i="5" s="1"/>
  <c r="K129" i="5" s="1"/>
  <c r="L129" i="5" s="1"/>
  <c r="M129" i="5" s="1"/>
  <c r="N129" i="5" s="1"/>
  <c r="O129" i="5" s="1"/>
  <c r="P129" i="5" s="1"/>
  <c r="Q129" i="5" s="1"/>
  <c r="C133" i="5" l="1"/>
  <c r="J132" i="5"/>
  <c r="K132" i="5" s="1"/>
  <c r="L132" i="5" s="1"/>
  <c r="G133" i="5"/>
  <c r="G140" i="5" s="1"/>
  <c r="H236" i="5" s="1"/>
  <c r="I236" i="5" s="1"/>
  <c r="C138" i="5"/>
  <c r="P137" i="5"/>
  <c r="M132" i="5"/>
  <c r="I148" i="5"/>
  <c r="H150" i="5"/>
  <c r="F140" i="5"/>
  <c r="C140" i="5"/>
  <c r="D21" i="5"/>
  <c r="E21" i="5"/>
  <c r="F21" i="5"/>
  <c r="G21" i="5"/>
  <c r="C21" i="5"/>
  <c r="E118" i="5"/>
  <c r="F118" i="5"/>
  <c r="G118" i="5"/>
  <c r="D118" i="5"/>
  <c r="D107" i="4"/>
  <c r="E107" i="4"/>
  <c r="F107" i="4"/>
  <c r="G107" i="4"/>
  <c r="C107" i="4"/>
  <c r="E92" i="4"/>
  <c r="F53" i="5"/>
  <c r="G53" i="5"/>
  <c r="H53" i="5" s="1"/>
  <c r="I53" i="5" s="1"/>
  <c r="J53" i="5" s="1"/>
  <c r="K53" i="5" s="1"/>
  <c r="L53" i="5" s="1"/>
  <c r="M53" i="5" s="1"/>
  <c r="N53" i="5" s="1"/>
  <c r="O53" i="5" s="1"/>
  <c r="P53" i="5" s="1"/>
  <c r="Q53" i="5" s="1"/>
  <c r="F52" i="5"/>
  <c r="G52" i="5"/>
  <c r="D110" i="5"/>
  <c r="E110" i="5"/>
  <c r="F110" i="5"/>
  <c r="G110" i="5"/>
  <c r="D111" i="5"/>
  <c r="E111" i="5"/>
  <c r="F111" i="5"/>
  <c r="G111" i="5"/>
  <c r="D112" i="5"/>
  <c r="E112" i="5"/>
  <c r="F112" i="5"/>
  <c r="G112" i="5"/>
  <c r="D113" i="5"/>
  <c r="D114" i="5" s="1"/>
  <c r="E113" i="5"/>
  <c r="E114" i="5" s="1"/>
  <c r="F113" i="5"/>
  <c r="G113" i="5"/>
  <c r="C113" i="5"/>
  <c r="C112" i="5"/>
  <c r="C111" i="5"/>
  <c r="C110" i="5"/>
  <c r="Q137" i="5" l="1"/>
  <c r="N132" i="5"/>
  <c r="J148" i="5"/>
  <c r="J150" i="5" s="1"/>
  <c r="I150" i="5"/>
  <c r="F114" i="5"/>
  <c r="C114" i="5"/>
  <c r="G114" i="5"/>
  <c r="O132" i="5" l="1"/>
  <c r="K148" i="5"/>
  <c r="K150" i="5" s="1"/>
  <c r="D104" i="5"/>
  <c r="E104" i="5"/>
  <c r="F104" i="5"/>
  <c r="G104" i="5"/>
  <c r="C104" i="5"/>
  <c r="D97" i="5"/>
  <c r="E97" i="5"/>
  <c r="F97" i="5"/>
  <c r="G97" i="5"/>
  <c r="D98" i="5"/>
  <c r="E98" i="5"/>
  <c r="F98" i="5"/>
  <c r="G98" i="5"/>
  <c r="D99" i="5"/>
  <c r="E99" i="5"/>
  <c r="F99" i="5"/>
  <c r="G99" i="5"/>
  <c r="D100" i="5"/>
  <c r="E100" i="5"/>
  <c r="F100" i="5"/>
  <c r="G100" i="5"/>
  <c r="D101" i="5"/>
  <c r="E101" i="5"/>
  <c r="F101" i="5"/>
  <c r="C98" i="5"/>
  <c r="C100" i="5"/>
  <c r="C99" i="5"/>
  <c r="C97" i="5"/>
  <c r="D89" i="5"/>
  <c r="E89" i="5"/>
  <c r="F89" i="5"/>
  <c r="G89" i="5"/>
  <c r="D90" i="5"/>
  <c r="E90" i="5"/>
  <c r="F90" i="5"/>
  <c r="G90" i="5"/>
  <c r="D91" i="5"/>
  <c r="E91" i="5"/>
  <c r="F91" i="5"/>
  <c r="G91" i="5"/>
  <c r="D92" i="5"/>
  <c r="E92" i="5"/>
  <c r="F92" i="5"/>
  <c r="G92" i="5"/>
  <c r="D93" i="5"/>
  <c r="E93" i="5"/>
  <c r="F93" i="5"/>
  <c r="G93" i="5"/>
  <c r="G94" i="5" s="1"/>
  <c r="D94" i="5"/>
  <c r="F94" i="5"/>
  <c r="C93" i="5"/>
  <c r="C92" i="5"/>
  <c r="C91" i="5"/>
  <c r="C90" i="5"/>
  <c r="C89" i="5"/>
  <c r="D84" i="5"/>
  <c r="E84" i="5"/>
  <c r="F84" i="5"/>
  <c r="G84" i="5"/>
  <c r="D85" i="5"/>
  <c r="E85" i="5"/>
  <c r="F85" i="5"/>
  <c r="G85" i="5"/>
  <c r="C85" i="5"/>
  <c r="C84" i="5"/>
  <c r="D73" i="5"/>
  <c r="E73" i="5"/>
  <c r="F73" i="5"/>
  <c r="G73" i="5"/>
  <c r="D70" i="5"/>
  <c r="E70" i="5"/>
  <c r="F70" i="5"/>
  <c r="F72" i="5" s="1"/>
  <c r="G70" i="5"/>
  <c r="D71" i="5"/>
  <c r="D72" i="5" s="1"/>
  <c r="E71" i="5"/>
  <c r="F71" i="5"/>
  <c r="G71" i="5"/>
  <c r="E72" i="5"/>
  <c r="C73" i="5"/>
  <c r="C71" i="5"/>
  <c r="C70" i="5"/>
  <c r="D60" i="5"/>
  <c r="E60" i="5"/>
  <c r="F60" i="5"/>
  <c r="G60" i="5"/>
  <c r="D61" i="5"/>
  <c r="E61" i="5"/>
  <c r="F61" i="5"/>
  <c r="G61" i="5"/>
  <c r="H61" i="5" s="1"/>
  <c r="I61" i="5" s="1"/>
  <c r="J61" i="5" s="1"/>
  <c r="K61" i="5" s="1"/>
  <c r="L61" i="5" s="1"/>
  <c r="M61" i="5" s="1"/>
  <c r="N61" i="5" s="1"/>
  <c r="O61" i="5" s="1"/>
  <c r="P61" i="5" s="1"/>
  <c r="Q61" i="5" s="1"/>
  <c r="D64" i="5"/>
  <c r="D126" i="5" s="1"/>
  <c r="E124" i="5" s="1"/>
  <c r="E64" i="5"/>
  <c r="E126" i="5" s="1"/>
  <c r="F124" i="5" s="1"/>
  <c r="F64" i="5"/>
  <c r="F126" i="5" s="1"/>
  <c r="G124" i="5" s="1"/>
  <c r="G64" i="5"/>
  <c r="G126" i="5" s="1"/>
  <c r="H124" i="5" s="1"/>
  <c r="D65" i="5"/>
  <c r="E65" i="5"/>
  <c r="F65" i="5"/>
  <c r="G65" i="5"/>
  <c r="H65" i="5" s="1"/>
  <c r="I65" i="5" s="1"/>
  <c r="J65" i="5" s="1"/>
  <c r="K65" i="5" s="1"/>
  <c r="L65" i="5" s="1"/>
  <c r="M65" i="5" s="1"/>
  <c r="N65" i="5" s="1"/>
  <c r="O65" i="5" s="1"/>
  <c r="P65" i="5" s="1"/>
  <c r="Q65" i="5" s="1"/>
  <c r="D66" i="5"/>
  <c r="D67" i="5" s="1"/>
  <c r="E66" i="5"/>
  <c r="E67" i="5" s="1"/>
  <c r="E74" i="5" s="1"/>
  <c r="F66" i="5"/>
  <c r="G66" i="5"/>
  <c r="H66" i="5" s="1"/>
  <c r="I66" i="5" s="1"/>
  <c r="J66" i="5" s="1"/>
  <c r="K66" i="5" s="1"/>
  <c r="L66" i="5" s="1"/>
  <c r="M66" i="5" s="1"/>
  <c r="N66" i="5" s="1"/>
  <c r="O66" i="5" s="1"/>
  <c r="P66" i="5" s="1"/>
  <c r="Q66" i="5" s="1"/>
  <c r="C66" i="5"/>
  <c r="C65" i="5"/>
  <c r="C64" i="5"/>
  <c r="C126" i="5" s="1"/>
  <c r="D124" i="5" s="1"/>
  <c r="D125" i="5" s="1"/>
  <c r="C61" i="5"/>
  <c r="C60" i="5"/>
  <c r="D45" i="5"/>
  <c r="E45" i="5"/>
  <c r="F45" i="5"/>
  <c r="G45" i="5"/>
  <c r="D46" i="5"/>
  <c r="E46" i="5"/>
  <c r="F46" i="5"/>
  <c r="G46" i="5"/>
  <c r="H46" i="5" s="1"/>
  <c r="D47" i="5"/>
  <c r="E47" i="5"/>
  <c r="F47" i="5"/>
  <c r="G47" i="5"/>
  <c r="D48" i="5"/>
  <c r="E48" i="5"/>
  <c r="F48" i="5"/>
  <c r="G48" i="5"/>
  <c r="D49" i="5"/>
  <c r="E49" i="5"/>
  <c r="F49" i="5"/>
  <c r="G49" i="5"/>
  <c r="D52" i="5"/>
  <c r="D121" i="5" s="1"/>
  <c r="E52" i="5"/>
  <c r="E121" i="5" s="1"/>
  <c r="F121" i="5"/>
  <c r="G117" i="5" s="1"/>
  <c r="G121" i="5"/>
  <c r="H117" i="5" s="1"/>
  <c r="D53" i="5"/>
  <c r="E53" i="5"/>
  <c r="D54" i="5"/>
  <c r="E54" i="5"/>
  <c r="F54" i="5"/>
  <c r="G54" i="5"/>
  <c r="D55" i="5"/>
  <c r="E55" i="5"/>
  <c r="F55" i="5"/>
  <c r="G55" i="5"/>
  <c r="H55" i="5" s="1"/>
  <c r="I55" i="5" s="1"/>
  <c r="J55" i="5" s="1"/>
  <c r="K55" i="5" s="1"/>
  <c r="L55" i="5" s="1"/>
  <c r="M55" i="5" s="1"/>
  <c r="N55" i="5" s="1"/>
  <c r="O55" i="5" s="1"/>
  <c r="P55" i="5" s="1"/>
  <c r="Q55" i="5" s="1"/>
  <c r="D56" i="5"/>
  <c r="E56" i="5"/>
  <c r="F56" i="5"/>
  <c r="G56" i="5"/>
  <c r="H56" i="5" s="1"/>
  <c r="I56" i="5" s="1"/>
  <c r="J56" i="5" s="1"/>
  <c r="K56" i="5" s="1"/>
  <c r="L56" i="5" s="1"/>
  <c r="M56" i="5" s="1"/>
  <c r="N56" i="5" s="1"/>
  <c r="O56" i="5" s="1"/>
  <c r="P56" i="5" s="1"/>
  <c r="Q56" i="5" s="1"/>
  <c r="C56" i="5"/>
  <c r="C54" i="5"/>
  <c r="C55" i="5"/>
  <c r="C53" i="5"/>
  <c r="C52" i="5"/>
  <c r="C121" i="5" s="1"/>
  <c r="D117" i="5" s="1"/>
  <c r="C49" i="5"/>
  <c r="C48" i="5"/>
  <c r="C47" i="5"/>
  <c r="C46" i="5"/>
  <c r="C45" i="5"/>
  <c r="D7" i="5"/>
  <c r="D152" i="5" s="1"/>
  <c r="E7" i="5"/>
  <c r="E152" i="5" s="1"/>
  <c r="E153" i="5" s="1"/>
  <c r="F7" i="5"/>
  <c r="F152" i="5" s="1"/>
  <c r="G7" i="5"/>
  <c r="D8" i="5"/>
  <c r="E8" i="5"/>
  <c r="E156" i="5" s="1"/>
  <c r="F8" i="5"/>
  <c r="G8" i="5"/>
  <c r="D10" i="5"/>
  <c r="D158" i="5" s="1"/>
  <c r="E10" i="5"/>
  <c r="E158" i="5" s="1"/>
  <c r="E159" i="5" s="1"/>
  <c r="F10" i="5"/>
  <c r="F158" i="5" s="1"/>
  <c r="G10" i="5"/>
  <c r="D11" i="5"/>
  <c r="D160" i="5" s="1"/>
  <c r="E11" i="5"/>
  <c r="E160" i="5" s="1"/>
  <c r="F11" i="5"/>
  <c r="F160" i="5" s="1"/>
  <c r="G11" i="5"/>
  <c r="D13" i="5"/>
  <c r="E13" i="5"/>
  <c r="E120" i="5" s="1"/>
  <c r="F13" i="5"/>
  <c r="F120" i="5" s="1"/>
  <c r="G13" i="5"/>
  <c r="G120" i="5" s="1"/>
  <c r="D15" i="5"/>
  <c r="D127" i="5" s="1"/>
  <c r="E15" i="5"/>
  <c r="E127" i="5" s="1"/>
  <c r="F15" i="5"/>
  <c r="F127" i="5" s="1"/>
  <c r="G15" i="5"/>
  <c r="G127" i="5" s="1"/>
  <c r="D16" i="5"/>
  <c r="E16" i="5"/>
  <c r="F16" i="5"/>
  <c r="G16" i="5"/>
  <c r="G33" i="5" s="1"/>
  <c r="H33" i="5" s="1"/>
  <c r="I33" i="5" s="1"/>
  <c r="J33" i="5" s="1"/>
  <c r="K33" i="5" s="1"/>
  <c r="L33" i="5" s="1"/>
  <c r="M33" i="5" s="1"/>
  <c r="N33" i="5" s="1"/>
  <c r="O33" i="5" s="1"/>
  <c r="P33" i="5" s="1"/>
  <c r="Q33" i="5" s="1"/>
  <c r="D18" i="5"/>
  <c r="D82" i="5" s="1"/>
  <c r="E18" i="5"/>
  <c r="E82" i="5" s="1"/>
  <c r="F18" i="5"/>
  <c r="F82" i="5" s="1"/>
  <c r="G18" i="5"/>
  <c r="G82" i="5" s="1"/>
  <c r="C16" i="5"/>
  <c r="C18" i="5"/>
  <c r="C82" i="5" s="1"/>
  <c r="C15" i="5"/>
  <c r="C127" i="5" s="1"/>
  <c r="C13" i="5"/>
  <c r="C83" i="5" s="1"/>
  <c r="C11" i="5"/>
  <c r="C10" i="5"/>
  <c r="C158" i="5" s="1"/>
  <c r="C8" i="5"/>
  <c r="C156" i="5" s="1"/>
  <c r="C7" i="5"/>
  <c r="C152" i="5" s="1"/>
  <c r="D3" i="5"/>
  <c r="B2" i="5"/>
  <c r="B2" i="8" s="1"/>
  <c r="B2" i="9" s="1"/>
  <c r="B2" i="10" s="1"/>
  <c r="E3" i="5" l="1"/>
  <c r="D144" i="5"/>
  <c r="I46" i="5"/>
  <c r="H136" i="5"/>
  <c r="P132" i="5"/>
  <c r="L148" i="5"/>
  <c r="L150" i="5"/>
  <c r="H49" i="5"/>
  <c r="H113" i="5" s="1"/>
  <c r="H104" i="5"/>
  <c r="G57" i="5"/>
  <c r="G67" i="5"/>
  <c r="H54" i="5"/>
  <c r="H70" i="5"/>
  <c r="I70" i="5" s="1"/>
  <c r="J70" i="5" s="1"/>
  <c r="K70" i="5" s="1"/>
  <c r="L70" i="5" s="1"/>
  <c r="M70" i="5" s="1"/>
  <c r="N70" i="5" s="1"/>
  <c r="O70" i="5" s="1"/>
  <c r="P70" i="5" s="1"/>
  <c r="Q70" i="5" s="1"/>
  <c r="G72" i="5"/>
  <c r="G101" i="5"/>
  <c r="E161" i="5"/>
  <c r="D161" i="5"/>
  <c r="D159" i="5"/>
  <c r="D9" i="5"/>
  <c r="D156" i="5"/>
  <c r="D157" i="5" s="1"/>
  <c r="D153" i="5"/>
  <c r="G32" i="5"/>
  <c r="H32" i="5" s="1"/>
  <c r="G30" i="5"/>
  <c r="G160" i="5"/>
  <c r="G29" i="5"/>
  <c r="G158" i="5"/>
  <c r="G28" i="5"/>
  <c r="G156" i="5"/>
  <c r="G39" i="5"/>
  <c r="G152" i="5"/>
  <c r="D74" i="5"/>
  <c r="F161" i="5"/>
  <c r="F159" i="5"/>
  <c r="F28" i="5"/>
  <c r="F156" i="5"/>
  <c r="F157" i="5" s="1"/>
  <c r="F153" i="5"/>
  <c r="H127" i="5"/>
  <c r="H126" i="5"/>
  <c r="H131" i="5" s="1"/>
  <c r="H133" i="5" s="1"/>
  <c r="D57" i="5"/>
  <c r="E32" i="5"/>
  <c r="F32" i="5"/>
  <c r="D32" i="5"/>
  <c r="C72" i="5"/>
  <c r="F117" i="5"/>
  <c r="F119" i="5" s="1"/>
  <c r="E117" i="5"/>
  <c r="E119" i="5" s="1"/>
  <c r="G119" i="5"/>
  <c r="G9" i="5"/>
  <c r="G12" i="5" s="1"/>
  <c r="F33" i="5"/>
  <c r="F30" i="5"/>
  <c r="E94" i="5"/>
  <c r="F67" i="5"/>
  <c r="F74" i="5" s="1"/>
  <c r="C9" i="5"/>
  <c r="C12" i="5" s="1"/>
  <c r="F125" i="5"/>
  <c r="E33" i="5"/>
  <c r="E30" i="5"/>
  <c r="G125" i="5"/>
  <c r="C94" i="5"/>
  <c r="E29" i="5"/>
  <c r="C67" i="5"/>
  <c r="C74" i="5" s="1"/>
  <c r="C101" i="5"/>
  <c r="D33" i="5"/>
  <c r="D29" i="5"/>
  <c r="F83" i="5"/>
  <c r="F29" i="5"/>
  <c r="G27" i="5"/>
  <c r="G38" i="5"/>
  <c r="E83" i="5"/>
  <c r="F27" i="5"/>
  <c r="F39" i="5"/>
  <c r="G37" i="5"/>
  <c r="G36" i="5"/>
  <c r="F38" i="5"/>
  <c r="D83" i="5"/>
  <c r="D120" i="5"/>
  <c r="D31" i="5" s="1"/>
  <c r="E9" i="5"/>
  <c r="E12" i="5" s="1"/>
  <c r="E28" i="5"/>
  <c r="E27" i="5"/>
  <c r="E39" i="5"/>
  <c r="F37" i="5"/>
  <c r="H37" i="5" s="1"/>
  <c r="F36" i="5"/>
  <c r="E125" i="5"/>
  <c r="D38" i="5"/>
  <c r="E38" i="5"/>
  <c r="G83" i="5"/>
  <c r="D39" i="5"/>
  <c r="D37" i="5"/>
  <c r="E37" i="5"/>
  <c r="D36" i="5"/>
  <c r="E36" i="5"/>
  <c r="D30" i="5"/>
  <c r="D28" i="5"/>
  <c r="D27" i="5"/>
  <c r="C28" i="5"/>
  <c r="C57" i="5"/>
  <c r="C76" i="5" s="1"/>
  <c r="C29" i="5"/>
  <c r="F9" i="5"/>
  <c r="F12" i="5" s="1"/>
  <c r="C30" i="5"/>
  <c r="E57" i="5"/>
  <c r="E76" i="5" s="1"/>
  <c r="D12" i="5"/>
  <c r="C33" i="5"/>
  <c r="F57" i="5"/>
  <c r="F76" i="5" s="1"/>
  <c r="C166" i="4"/>
  <c r="E170" i="4"/>
  <c r="E167" i="4"/>
  <c r="E166" i="4"/>
  <c r="E154" i="4"/>
  <c r="E138" i="4"/>
  <c r="E136" i="4"/>
  <c r="C170" i="4"/>
  <c r="C169" i="4"/>
  <c r="C167" i="4"/>
  <c r="D166" i="4"/>
  <c r="F166" i="4"/>
  <c r="D154" i="4"/>
  <c r="C154" i="4"/>
  <c r="F154" i="4"/>
  <c r="D138" i="4"/>
  <c r="D167" i="4" s="1"/>
  <c r="D170" i="4" s="1"/>
  <c r="F138" i="4"/>
  <c r="G138" i="4"/>
  <c r="G167" i="4" s="1"/>
  <c r="G170" i="4" s="1"/>
  <c r="C138" i="4"/>
  <c r="D136" i="4"/>
  <c r="C136" i="4"/>
  <c r="F136" i="4"/>
  <c r="F169" i="4"/>
  <c r="G169" i="4"/>
  <c r="G166" i="4"/>
  <c r="G154" i="4"/>
  <c r="G136" i="4"/>
  <c r="E109" i="4"/>
  <c r="F109" i="4" s="1"/>
  <c r="G109" i="4" s="1"/>
  <c r="D109" i="4"/>
  <c r="E106" i="4"/>
  <c r="E80" i="4"/>
  <c r="E72" i="4"/>
  <c r="E74" i="4" s="1"/>
  <c r="D72" i="4"/>
  <c r="E59" i="4"/>
  <c r="F106" i="4"/>
  <c r="G106" i="4"/>
  <c r="F92" i="4"/>
  <c r="G92" i="4"/>
  <c r="F80" i="4"/>
  <c r="G80" i="4"/>
  <c r="D80" i="4"/>
  <c r="G72" i="4"/>
  <c r="F72" i="4"/>
  <c r="G59" i="4"/>
  <c r="F59" i="4"/>
  <c r="D106" i="4"/>
  <c r="C106" i="4"/>
  <c r="D92" i="4"/>
  <c r="C92" i="4"/>
  <c r="C80" i="4"/>
  <c r="C72" i="4"/>
  <c r="C74" i="4" s="1"/>
  <c r="D59" i="4"/>
  <c r="D74" i="4" s="1"/>
  <c r="C59" i="4"/>
  <c r="D39" i="4"/>
  <c r="E39" i="4" s="1"/>
  <c r="F39" i="4" s="1"/>
  <c r="G39" i="4" s="1"/>
  <c r="C32" i="4"/>
  <c r="D32" i="4"/>
  <c r="C20" i="4"/>
  <c r="C26" i="4" s="1"/>
  <c r="C28" i="4" s="1"/>
  <c r="C33" i="4" s="1"/>
  <c r="C19" i="4"/>
  <c r="C8" i="4"/>
  <c r="E32" i="4"/>
  <c r="F32" i="4"/>
  <c r="E19" i="4"/>
  <c r="D19" i="4"/>
  <c r="E8" i="4"/>
  <c r="E20" i="4" s="1"/>
  <c r="E26" i="4" s="1"/>
  <c r="E28" i="4" s="1"/>
  <c r="E33" i="4" s="1"/>
  <c r="D8" i="4"/>
  <c r="D20" i="4" s="1"/>
  <c r="D26" i="4" s="1"/>
  <c r="D28" i="4" s="1"/>
  <c r="D33" i="4" s="1"/>
  <c r="G32" i="4"/>
  <c r="G19" i="4"/>
  <c r="F19" i="4"/>
  <c r="G8" i="4"/>
  <c r="F8" i="4"/>
  <c r="F20" i="4" s="1"/>
  <c r="F26" i="4" s="1"/>
  <c r="F28" i="4" s="1"/>
  <c r="F33" i="4" s="1"/>
  <c r="D4" i="4"/>
  <c r="E4" i="4" s="1"/>
  <c r="F4" i="4" s="1"/>
  <c r="G4" i="4" s="1"/>
  <c r="H36" i="5" l="1"/>
  <c r="F3" i="5"/>
  <c r="E144" i="5"/>
  <c r="H38" i="5"/>
  <c r="I32" i="5"/>
  <c r="J32" i="5" s="1"/>
  <c r="K32" i="5" s="1"/>
  <c r="L32" i="5" s="1"/>
  <c r="M32" i="5" s="1"/>
  <c r="N32" i="5" s="1"/>
  <c r="O32" i="5" s="1"/>
  <c r="P32" i="5" s="1"/>
  <c r="Q32" i="5" s="1"/>
  <c r="D34" i="9"/>
  <c r="D36" i="9" s="1"/>
  <c r="D51" i="9" s="1"/>
  <c r="J46" i="5"/>
  <c r="I136" i="5"/>
  <c r="Q132" i="5"/>
  <c r="M148" i="5"/>
  <c r="M150" i="5" s="1"/>
  <c r="I37" i="5"/>
  <c r="I38" i="5"/>
  <c r="H15" i="5"/>
  <c r="H100" i="5"/>
  <c r="I54" i="5"/>
  <c r="I91" i="5" s="1"/>
  <c r="H91" i="5"/>
  <c r="I36" i="5"/>
  <c r="J36" i="5" s="1"/>
  <c r="G74" i="5"/>
  <c r="I49" i="5"/>
  <c r="I113" i="5" s="1"/>
  <c r="C14" i="5"/>
  <c r="C17" i="5" s="1"/>
  <c r="C162" i="5"/>
  <c r="C142" i="5"/>
  <c r="I124" i="5"/>
  <c r="H64" i="5"/>
  <c r="H156" i="5"/>
  <c r="H8" i="5" s="1"/>
  <c r="G157" i="5"/>
  <c r="H160" i="5"/>
  <c r="G161" i="5"/>
  <c r="E14" i="5"/>
  <c r="E17" i="5" s="1"/>
  <c r="E34" i="5" s="1"/>
  <c r="E162" i="5"/>
  <c r="E142" i="5"/>
  <c r="G14" i="5"/>
  <c r="G162" i="5"/>
  <c r="G142" i="5"/>
  <c r="D76" i="5"/>
  <c r="H152" i="5"/>
  <c r="G153" i="5"/>
  <c r="G159" i="5"/>
  <c r="H158" i="5"/>
  <c r="F14" i="5"/>
  <c r="F17" i="5" s="1"/>
  <c r="F19" i="5" s="1"/>
  <c r="F162" i="5"/>
  <c r="F142" i="5"/>
  <c r="D14" i="5"/>
  <c r="D17" i="5" s="1"/>
  <c r="D34" i="5" s="1"/>
  <c r="D162" i="5"/>
  <c r="D142" i="5"/>
  <c r="G76" i="5"/>
  <c r="E157" i="5"/>
  <c r="D119" i="5"/>
  <c r="E19" i="5"/>
  <c r="G31" i="5"/>
  <c r="H31" i="5" s="1"/>
  <c r="F34" i="5"/>
  <c r="E31" i="5"/>
  <c r="F31" i="5"/>
  <c r="C19" i="5"/>
  <c r="C34" i="5"/>
  <c r="F167" i="4"/>
  <c r="F170" i="4" s="1"/>
  <c r="G74" i="4"/>
  <c r="F74" i="4"/>
  <c r="G20" i="4"/>
  <c r="G26" i="4" s="1"/>
  <c r="G28" i="4" s="1"/>
  <c r="G33" i="4" s="1"/>
  <c r="C261" i="5" l="1"/>
  <c r="C252" i="5"/>
  <c r="G3" i="5"/>
  <c r="F144" i="5"/>
  <c r="D19" i="5"/>
  <c r="D22" i="5" s="1"/>
  <c r="D35" i="5" s="1"/>
  <c r="K46" i="5"/>
  <c r="J136" i="5"/>
  <c r="N148" i="5"/>
  <c r="C22" i="5"/>
  <c r="C35" i="5" s="1"/>
  <c r="C40" i="5"/>
  <c r="E22" i="5"/>
  <c r="E35" i="5" s="1"/>
  <c r="E40" i="5"/>
  <c r="J49" i="5"/>
  <c r="J113" i="5" s="1"/>
  <c r="F22" i="5"/>
  <c r="F35" i="5" s="1"/>
  <c r="F40" i="5"/>
  <c r="J38" i="5"/>
  <c r="K38" i="5" s="1"/>
  <c r="K36" i="5"/>
  <c r="J54" i="5"/>
  <c r="J91" i="5" s="1"/>
  <c r="J37" i="5"/>
  <c r="K37" i="5" s="1"/>
  <c r="I31" i="5"/>
  <c r="J31" i="5" s="1"/>
  <c r="H120" i="5"/>
  <c r="H13" i="5" s="1"/>
  <c r="F81" i="5"/>
  <c r="F86" i="5" s="1"/>
  <c r="F103" i="5" s="1"/>
  <c r="F105" i="5" s="1"/>
  <c r="H10" i="5"/>
  <c r="I158" i="5"/>
  <c r="H11" i="5"/>
  <c r="I160" i="5"/>
  <c r="I126" i="5"/>
  <c r="I131" i="5" s="1"/>
  <c r="I133" i="5" s="1"/>
  <c r="I127" i="5"/>
  <c r="I156" i="5"/>
  <c r="I8" i="5" s="1"/>
  <c r="I152" i="5"/>
  <c r="H7" i="5"/>
  <c r="G17" i="5"/>
  <c r="G34" i="5" s="1"/>
  <c r="H34" i="5" s="1"/>
  <c r="I34" i="5" s="1"/>
  <c r="J34" i="5" s="1"/>
  <c r="K34" i="5" s="1"/>
  <c r="L34" i="5" s="1"/>
  <c r="M34" i="5" s="1"/>
  <c r="N34" i="5" s="1"/>
  <c r="O34" i="5" s="1"/>
  <c r="P34" i="5" s="1"/>
  <c r="Q34" i="5" s="1"/>
  <c r="C81" i="5"/>
  <c r="E81" i="5"/>
  <c r="E86" i="5" s="1"/>
  <c r="E103" i="5" s="1"/>
  <c r="E105" i="5" s="1"/>
  <c r="D81" i="5"/>
  <c r="D86" i="5" s="1"/>
  <c r="D103" i="5" s="1"/>
  <c r="D105" i="5" s="1"/>
  <c r="C251" i="5" l="1"/>
  <c r="C250" i="5" s="1"/>
  <c r="C253" i="5"/>
  <c r="C254" i="5" s="1"/>
  <c r="C260" i="5"/>
  <c r="C259" i="5" s="1"/>
  <c r="C262" i="5"/>
  <c r="C263" i="5" s="1"/>
  <c r="D40" i="5"/>
  <c r="H3" i="5"/>
  <c r="G144" i="5"/>
  <c r="L46" i="5"/>
  <c r="K136" i="5"/>
  <c r="H83" i="5"/>
  <c r="E223" i="5"/>
  <c r="O148" i="5"/>
  <c r="O150" i="5" s="1"/>
  <c r="N150" i="5"/>
  <c r="L38" i="5"/>
  <c r="M38" i="5" s="1"/>
  <c r="N38" i="5" s="1"/>
  <c r="K54" i="5"/>
  <c r="K91" i="5" s="1"/>
  <c r="K49" i="5"/>
  <c r="K113" i="5" s="1"/>
  <c r="L37" i="5"/>
  <c r="L36" i="5"/>
  <c r="I15" i="5"/>
  <c r="I100" i="5"/>
  <c r="H118" i="5"/>
  <c r="H47" i="5"/>
  <c r="H48" i="5"/>
  <c r="H60" i="5"/>
  <c r="J152" i="5"/>
  <c r="I7" i="5"/>
  <c r="J124" i="5"/>
  <c r="I64" i="5"/>
  <c r="H29" i="5"/>
  <c r="J156" i="5"/>
  <c r="J8" i="5" s="1"/>
  <c r="J160" i="5"/>
  <c r="I11" i="5"/>
  <c r="G19" i="5"/>
  <c r="H28" i="5"/>
  <c r="H30" i="5"/>
  <c r="H16" i="5"/>
  <c r="H27" i="5"/>
  <c r="H9" i="5"/>
  <c r="H12" i="5" s="1"/>
  <c r="J158" i="5"/>
  <c r="I10" i="5"/>
  <c r="K31" i="5"/>
  <c r="C86" i="5"/>
  <c r="C103" i="5" s="1"/>
  <c r="C105" i="5" s="1"/>
  <c r="I3" i="5" l="1"/>
  <c r="H144" i="5"/>
  <c r="I29" i="5"/>
  <c r="H89" i="5"/>
  <c r="E224" i="5"/>
  <c r="M46" i="5"/>
  <c r="L136" i="5"/>
  <c r="P148" i="5"/>
  <c r="P150" i="5" s="1"/>
  <c r="O38" i="5"/>
  <c r="P38" i="5" s="1"/>
  <c r="I30" i="5"/>
  <c r="L54" i="5"/>
  <c r="L91" i="5" s="1"/>
  <c r="L49" i="5"/>
  <c r="L113" i="5" s="1"/>
  <c r="G22" i="5"/>
  <c r="G40" i="5"/>
  <c r="H40" i="5" s="1"/>
  <c r="I40" i="5" s="1"/>
  <c r="J40" i="5" s="1"/>
  <c r="K40" i="5" s="1"/>
  <c r="L40" i="5" s="1"/>
  <c r="M40" i="5" s="1"/>
  <c r="N40" i="5" s="1"/>
  <c r="O40" i="5" s="1"/>
  <c r="P40" i="5" s="1"/>
  <c r="Q40" i="5" s="1"/>
  <c r="M36" i="5"/>
  <c r="N36" i="5" s="1"/>
  <c r="M37" i="5"/>
  <c r="N37" i="5" s="1"/>
  <c r="H121" i="5"/>
  <c r="I117" i="5" s="1"/>
  <c r="H14" i="5"/>
  <c r="H162" i="5"/>
  <c r="H84" i="5"/>
  <c r="H93" i="5"/>
  <c r="H94" i="5" s="1"/>
  <c r="I118" i="5"/>
  <c r="I47" i="5"/>
  <c r="I110" i="5" s="1"/>
  <c r="H67" i="5"/>
  <c r="H112" i="5"/>
  <c r="H111" i="5"/>
  <c r="H110" i="5"/>
  <c r="I28" i="5"/>
  <c r="I60" i="5"/>
  <c r="I48" i="5"/>
  <c r="I111" i="5" s="1"/>
  <c r="K152" i="5"/>
  <c r="J7" i="5"/>
  <c r="L31" i="5"/>
  <c r="K160" i="5"/>
  <c r="J11" i="5"/>
  <c r="J126" i="5"/>
  <c r="J131" i="5" s="1"/>
  <c r="J133" i="5" s="1"/>
  <c r="J127" i="5"/>
  <c r="K158" i="5"/>
  <c r="J10" i="5"/>
  <c r="H52" i="5"/>
  <c r="H39" i="5" s="1"/>
  <c r="G35" i="5"/>
  <c r="H35" i="5" s="1"/>
  <c r="I35" i="5" s="1"/>
  <c r="J35" i="5" s="1"/>
  <c r="K35" i="5" s="1"/>
  <c r="L35" i="5" s="1"/>
  <c r="M35" i="5" s="1"/>
  <c r="N35" i="5" s="1"/>
  <c r="O35" i="5" s="1"/>
  <c r="P35" i="5" s="1"/>
  <c r="Q35" i="5" s="1"/>
  <c r="G81" i="5"/>
  <c r="K156" i="5"/>
  <c r="K8" i="5" s="1"/>
  <c r="I16" i="5"/>
  <c r="I9" i="5"/>
  <c r="I12" i="5" s="1"/>
  <c r="I162" i="5" s="1"/>
  <c r="I27" i="5"/>
  <c r="J3" i="5" l="1"/>
  <c r="I144" i="5"/>
  <c r="N46" i="5"/>
  <c r="M136" i="5"/>
  <c r="I89" i="5"/>
  <c r="F224" i="5"/>
  <c r="H17" i="5"/>
  <c r="H18" i="5" s="1"/>
  <c r="H19" i="5" s="1"/>
  <c r="H81" i="5" s="1"/>
  <c r="E220" i="5"/>
  <c r="Q148" i="5"/>
  <c r="Q150" i="5"/>
  <c r="G86" i="5"/>
  <c r="G103" i="5" s="1"/>
  <c r="G105" i="5" s="1"/>
  <c r="O36" i="5"/>
  <c r="P36" i="5" s="1"/>
  <c r="Q36" i="5" s="1"/>
  <c r="M49" i="5"/>
  <c r="M113" i="5" s="1"/>
  <c r="O37" i="5"/>
  <c r="M54" i="5"/>
  <c r="M91" i="5" s="1"/>
  <c r="Q38" i="5"/>
  <c r="J15" i="5"/>
  <c r="J100" i="5"/>
  <c r="H114" i="5"/>
  <c r="J30" i="5"/>
  <c r="I67" i="5"/>
  <c r="I112" i="5"/>
  <c r="I114" i="5" s="1"/>
  <c r="I93" i="5"/>
  <c r="I94" i="5" s="1"/>
  <c r="I84" i="5"/>
  <c r="J118" i="5"/>
  <c r="J47" i="5"/>
  <c r="J28" i="5"/>
  <c r="J48" i="5"/>
  <c r="J111" i="5" s="1"/>
  <c r="J60" i="5"/>
  <c r="J29" i="5"/>
  <c r="L158" i="5"/>
  <c r="K10" i="5"/>
  <c r="M31" i="5"/>
  <c r="J16" i="5"/>
  <c r="J9" i="5"/>
  <c r="J12" i="5" s="1"/>
  <c r="J162" i="5" s="1"/>
  <c r="J27" i="5"/>
  <c r="L156" i="5"/>
  <c r="L8" i="5" s="1"/>
  <c r="I120" i="5"/>
  <c r="I13" i="5" s="1"/>
  <c r="K124" i="5"/>
  <c r="J64" i="5"/>
  <c r="L160" i="5"/>
  <c r="K11" i="5"/>
  <c r="L152" i="5"/>
  <c r="K7" i="5"/>
  <c r="K3" i="5" l="1"/>
  <c r="J144" i="5"/>
  <c r="I83" i="5"/>
  <c r="F223" i="5"/>
  <c r="H21" i="5"/>
  <c r="H73" i="5" s="1"/>
  <c r="I85" i="5"/>
  <c r="F225" i="5"/>
  <c r="E221" i="5"/>
  <c r="E222" i="5" s="1"/>
  <c r="O46" i="5"/>
  <c r="N136" i="5"/>
  <c r="J89" i="5"/>
  <c r="G224" i="5"/>
  <c r="H85" i="5"/>
  <c r="H86" i="5" s="1"/>
  <c r="E225" i="5"/>
  <c r="N54" i="5"/>
  <c r="N91" i="5" s="1"/>
  <c r="N49" i="5"/>
  <c r="P37" i="5"/>
  <c r="Q37" i="5" s="1"/>
  <c r="I14" i="5"/>
  <c r="I121" i="5"/>
  <c r="J117" i="5" s="1"/>
  <c r="K118" i="5"/>
  <c r="K47" i="5"/>
  <c r="K110" i="5" s="1"/>
  <c r="J110" i="5"/>
  <c r="J93" i="5"/>
  <c r="J94" i="5" s="1"/>
  <c r="J84" i="5"/>
  <c r="K60" i="5"/>
  <c r="K48" i="5"/>
  <c r="K111" i="5" s="1"/>
  <c r="J112" i="5"/>
  <c r="J67" i="5"/>
  <c r="H22" i="5"/>
  <c r="K30" i="5"/>
  <c r="M158" i="5"/>
  <c r="L10" i="5"/>
  <c r="M160" i="5"/>
  <c r="L11" i="5"/>
  <c r="K28" i="5"/>
  <c r="N31" i="5"/>
  <c r="K16" i="5"/>
  <c r="K9" i="5"/>
  <c r="K12" i="5" s="1"/>
  <c r="K162" i="5" s="1"/>
  <c r="K27" i="5"/>
  <c r="M152" i="5"/>
  <c r="L7" i="5"/>
  <c r="K126" i="5"/>
  <c r="K131" i="5" s="1"/>
  <c r="K133" i="5" s="1"/>
  <c r="K127" i="5"/>
  <c r="M156" i="5"/>
  <c r="M8" i="5" s="1"/>
  <c r="K29" i="5"/>
  <c r="E226" i="5" l="1"/>
  <c r="E227" i="5" s="1"/>
  <c r="L3" i="5"/>
  <c r="K144" i="5"/>
  <c r="K89" i="5"/>
  <c r="H224" i="5"/>
  <c r="P46" i="5"/>
  <c r="O136" i="5"/>
  <c r="I17" i="5"/>
  <c r="I18" i="5" s="1"/>
  <c r="I19" i="5" s="1"/>
  <c r="I21" i="5" s="1"/>
  <c r="I73" i="5" s="1"/>
  <c r="F220" i="5"/>
  <c r="O49" i="5"/>
  <c r="O113" i="5" s="1"/>
  <c r="H99" i="5"/>
  <c r="H101" i="5" s="1"/>
  <c r="H103" i="5" s="1"/>
  <c r="H105" i="5" s="1"/>
  <c r="H45" i="5" s="1"/>
  <c r="H135" i="5" s="1"/>
  <c r="H138" i="5" s="1"/>
  <c r="H140" i="5" s="1"/>
  <c r="H142" i="5" s="1"/>
  <c r="O54" i="5"/>
  <c r="O91" i="5" s="1"/>
  <c r="N113" i="5"/>
  <c r="K15" i="5"/>
  <c r="K84" i="5" s="1"/>
  <c r="K100" i="5"/>
  <c r="J114" i="5"/>
  <c r="I52" i="5"/>
  <c r="I39" i="5" s="1"/>
  <c r="I81" i="5"/>
  <c r="I86" i="5" s="1"/>
  <c r="K93" i="5"/>
  <c r="K94" i="5" s="1"/>
  <c r="K112" i="5"/>
  <c r="K114" i="5" s="1"/>
  <c r="L28" i="5"/>
  <c r="L48" i="5"/>
  <c r="L60" i="5"/>
  <c r="L118" i="5"/>
  <c r="L47" i="5"/>
  <c r="L110" i="5" s="1"/>
  <c r="L16" i="5"/>
  <c r="L27" i="5"/>
  <c r="L9" i="5"/>
  <c r="L12" i="5" s="1"/>
  <c r="L162" i="5" s="1"/>
  <c r="L124" i="5"/>
  <c r="K64" i="5"/>
  <c r="K67" i="5" s="1"/>
  <c r="N158" i="5"/>
  <c r="M10" i="5"/>
  <c r="O31" i="5"/>
  <c r="L30" i="5"/>
  <c r="N156" i="5"/>
  <c r="N8" i="5" s="1"/>
  <c r="N152" i="5"/>
  <c r="M7" i="5"/>
  <c r="N160" i="5"/>
  <c r="M11" i="5"/>
  <c r="J120" i="5"/>
  <c r="J13" i="5" s="1"/>
  <c r="G223" i="5" s="1"/>
  <c r="L29" i="5"/>
  <c r="M3" i="5" l="1"/>
  <c r="L144" i="5"/>
  <c r="I22" i="5"/>
  <c r="I99" i="5" s="1"/>
  <c r="I101" i="5" s="1"/>
  <c r="I103" i="5" s="1"/>
  <c r="I105" i="5" s="1"/>
  <c r="I45" i="5" s="1"/>
  <c r="I135" i="5" s="1"/>
  <c r="I138" i="5" s="1"/>
  <c r="I140" i="5" s="1"/>
  <c r="I142" i="5" s="1"/>
  <c r="J85" i="5"/>
  <c r="G225" i="5"/>
  <c r="Q46" i="5"/>
  <c r="Q136" i="5" s="1"/>
  <c r="P136" i="5"/>
  <c r="L89" i="5"/>
  <c r="I224" i="5"/>
  <c r="K85" i="5"/>
  <c r="H225" i="5"/>
  <c r="F221" i="5"/>
  <c r="F222" i="5" s="1"/>
  <c r="F226" i="5" s="1"/>
  <c r="F227" i="5" s="1"/>
  <c r="I104" i="5"/>
  <c r="H57" i="5"/>
  <c r="H71" i="5"/>
  <c r="H72" i="5" s="1"/>
  <c r="H74" i="5" s="1"/>
  <c r="P54" i="5"/>
  <c r="P49" i="5"/>
  <c r="Q49" i="5" s="1"/>
  <c r="Q113" i="5" s="1"/>
  <c r="J83" i="5"/>
  <c r="J14" i="5"/>
  <c r="J121" i="5"/>
  <c r="K117" i="5" s="1"/>
  <c r="M118" i="5"/>
  <c r="M47" i="5"/>
  <c r="M110" i="5" s="1"/>
  <c r="M60" i="5"/>
  <c r="M48" i="5"/>
  <c r="M111" i="5" s="1"/>
  <c r="L93" i="5"/>
  <c r="L111" i="5"/>
  <c r="L112" i="5"/>
  <c r="M30" i="5"/>
  <c r="M28" i="5"/>
  <c r="P31" i="5"/>
  <c r="O160" i="5"/>
  <c r="N11" i="5"/>
  <c r="O156" i="5"/>
  <c r="O8" i="5" s="1"/>
  <c r="M29" i="5"/>
  <c r="M16" i="5"/>
  <c r="M9" i="5"/>
  <c r="M12" i="5" s="1"/>
  <c r="M162" i="5" s="1"/>
  <c r="M27" i="5"/>
  <c r="O158" i="5"/>
  <c r="N10" i="5"/>
  <c r="L126" i="5"/>
  <c r="L131" i="5" s="1"/>
  <c r="L133" i="5" s="1"/>
  <c r="L127" i="5"/>
  <c r="O152" i="5"/>
  <c r="N7" i="5"/>
  <c r="L94" i="5" l="1"/>
  <c r="N3" i="5"/>
  <c r="M144" i="5"/>
  <c r="M89" i="5"/>
  <c r="J224" i="5"/>
  <c r="P113" i="5"/>
  <c r="J17" i="5"/>
  <c r="G220" i="5"/>
  <c r="L114" i="5"/>
  <c r="I71" i="5"/>
  <c r="I72" i="5" s="1"/>
  <c r="I74" i="5" s="1"/>
  <c r="Q54" i="5"/>
  <c r="Q91" i="5" s="1"/>
  <c r="H76" i="5"/>
  <c r="P91" i="5"/>
  <c r="L15" i="5"/>
  <c r="L84" i="5" s="1"/>
  <c r="L100" i="5"/>
  <c r="J52" i="5"/>
  <c r="J39" i="5" s="1"/>
  <c r="J104" i="5"/>
  <c r="I57" i="5"/>
  <c r="I76" i="5" s="1"/>
  <c r="J18" i="5"/>
  <c r="J19" i="5" s="1"/>
  <c r="N118" i="5"/>
  <c r="N47" i="5"/>
  <c r="N110" i="5" s="1"/>
  <c r="M93" i="5"/>
  <c r="M94" i="5" s="1"/>
  <c r="M112" i="5"/>
  <c r="M114" i="5" s="1"/>
  <c r="N48" i="5"/>
  <c r="N60" i="5"/>
  <c r="N16" i="5"/>
  <c r="N9" i="5"/>
  <c r="N12" i="5" s="1"/>
  <c r="N162" i="5" s="1"/>
  <c r="N27" i="5"/>
  <c r="N30" i="5"/>
  <c r="M124" i="5"/>
  <c r="L64" i="5"/>
  <c r="L67" i="5" s="1"/>
  <c r="P160" i="5"/>
  <c r="O11" i="5"/>
  <c r="N28" i="5"/>
  <c r="N29" i="5"/>
  <c r="P152" i="5"/>
  <c r="O7" i="5"/>
  <c r="P158" i="5"/>
  <c r="O10" i="5"/>
  <c r="P156" i="5"/>
  <c r="P8" i="5" s="1"/>
  <c r="Q31" i="5"/>
  <c r="K120" i="5"/>
  <c r="K13" i="5" s="1"/>
  <c r="H223" i="5" s="1"/>
  <c r="O3" i="5" l="1"/>
  <c r="N144" i="5"/>
  <c r="N89" i="5"/>
  <c r="K224" i="5"/>
  <c r="M85" i="5"/>
  <c r="J225" i="5"/>
  <c r="L85" i="5"/>
  <c r="I225" i="5"/>
  <c r="G221" i="5"/>
  <c r="G222" i="5" s="1"/>
  <c r="G226" i="5" s="1"/>
  <c r="G227" i="5" s="1"/>
  <c r="O29" i="5"/>
  <c r="J81" i="5"/>
  <c r="J86" i="5" s="1"/>
  <c r="J21" i="5"/>
  <c r="J73" i="5" s="1"/>
  <c r="K83" i="5"/>
  <c r="K14" i="5"/>
  <c r="K121" i="5"/>
  <c r="K52" i="5" s="1"/>
  <c r="O118" i="5"/>
  <c r="O47" i="5"/>
  <c r="N93" i="5"/>
  <c r="N94" i="5" s="1"/>
  <c r="O28" i="5"/>
  <c r="O48" i="5"/>
  <c r="O60" i="5"/>
  <c r="N112" i="5"/>
  <c r="N111" i="5"/>
  <c r="Q158" i="5"/>
  <c r="Q10" i="5" s="1"/>
  <c r="P10" i="5"/>
  <c r="O16" i="5"/>
  <c r="O9" i="5"/>
  <c r="O12" i="5" s="1"/>
  <c r="O162" i="5" s="1"/>
  <c r="O27" i="5"/>
  <c r="O30" i="5"/>
  <c r="Q156" i="5"/>
  <c r="Q8" i="5" s="1"/>
  <c r="Q152" i="5"/>
  <c r="Q7" i="5" s="1"/>
  <c r="P7" i="5"/>
  <c r="Q160" i="5"/>
  <c r="Q11" i="5" s="1"/>
  <c r="P11" i="5"/>
  <c r="M126" i="5"/>
  <c r="M131" i="5" s="1"/>
  <c r="M133" i="5" s="1"/>
  <c r="M127" i="5"/>
  <c r="P3" i="5" l="1"/>
  <c r="O144" i="5"/>
  <c r="O89" i="5"/>
  <c r="L224" i="5"/>
  <c r="K17" i="5"/>
  <c r="H220" i="5"/>
  <c r="M15" i="5"/>
  <c r="M84" i="5" s="1"/>
  <c r="M100" i="5"/>
  <c r="N114" i="5"/>
  <c r="L117" i="5"/>
  <c r="L120" i="5" s="1"/>
  <c r="L13" i="5" s="1"/>
  <c r="I223" i="5" s="1"/>
  <c r="J22" i="5"/>
  <c r="P30" i="5"/>
  <c r="K18" i="5"/>
  <c r="K19" i="5" s="1"/>
  <c r="Q30" i="5"/>
  <c r="K39" i="5"/>
  <c r="P48" i="5"/>
  <c r="P111" i="5" s="1"/>
  <c r="P60" i="5"/>
  <c r="P118" i="5"/>
  <c r="P47" i="5"/>
  <c r="P110" i="5" s="1"/>
  <c r="Q118" i="5"/>
  <c r="Q47" i="5"/>
  <c r="O112" i="5"/>
  <c r="Q48" i="5"/>
  <c r="Q60" i="5"/>
  <c r="O93" i="5"/>
  <c r="O110" i="5"/>
  <c r="O111" i="5"/>
  <c r="P16" i="5"/>
  <c r="P27" i="5"/>
  <c r="P9" i="5"/>
  <c r="P12" i="5" s="1"/>
  <c r="P162" i="5" s="1"/>
  <c r="N124" i="5"/>
  <c r="M64" i="5"/>
  <c r="M67" i="5" s="1"/>
  <c r="Q16" i="5"/>
  <c r="Q9" i="5"/>
  <c r="Q12" i="5" s="1"/>
  <c r="Q162" i="5" s="1"/>
  <c r="Q27" i="5"/>
  <c r="P28" i="5"/>
  <c r="P29" i="5"/>
  <c r="Q28" i="5"/>
  <c r="Q29" i="5"/>
  <c r="O94" i="5" l="1"/>
  <c r="Q3" i="5"/>
  <c r="Q144" i="5" s="1"/>
  <c r="P144" i="5"/>
  <c r="Q111" i="5"/>
  <c r="P89" i="5"/>
  <c r="M224" i="5"/>
  <c r="H221" i="5"/>
  <c r="H222" i="5" s="1"/>
  <c r="H226" i="5" s="1"/>
  <c r="H227" i="5" s="1"/>
  <c r="N85" i="5"/>
  <c r="K225" i="5"/>
  <c r="Q89" i="5"/>
  <c r="N224" i="5"/>
  <c r="O114" i="5"/>
  <c r="J99" i="5"/>
  <c r="J101" i="5" s="1"/>
  <c r="J103" i="5" s="1"/>
  <c r="J105" i="5" s="1"/>
  <c r="J45" i="5" s="1"/>
  <c r="L121" i="5"/>
  <c r="M117" i="5" s="1"/>
  <c r="K21" i="5"/>
  <c r="K73" i="5" s="1"/>
  <c r="K81" i="5"/>
  <c r="K86" i="5" s="1"/>
  <c r="L83" i="5"/>
  <c r="L14" i="5"/>
  <c r="P93" i="5"/>
  <c r="P94" i="5" s="1"/>
  <c r="Q112" i="5"/>
  <c r="Q110" i="5"/>
  <c r="P112" i="5"/>
  <c r="P114" i="5" s="1"/>
  <c r="Q93" i="5"/>
  <c r="Q94" i="5" s="1"/>
  <c r="N126" i="5"/>
  <c r="N131" i="5" s="1"/>
  <c r="N133" i="5" s="1"/>
  <c r="N127" i="5"/>
  <c r="P85" i="5" l="1"/>
  <c r="M225" i="5"/>
  <c r="L17" i="5"/>
  <c r="I220" i="5"/>
  <c r="J57" i="5"/>
  <c r="J135" i="5"/>
  <c r="J138" i="5" s="1"/>
  <c r="J140" i="5" s="1"/>
  <c r="J142" i="5" s="1"/>
  <c r="O85" i="5"/>
  <c r="L225" i="5"/>
  <c r="Q114" i="5"/>
  <c r="K104" i="5"/>
  <c r="N15" i="5"/>
  <c r="N84" i="5" s="1"/>
  <c r="N100" i="5"/>
  <c r="J71" i="5"/>
  <c r="J72" i="5" s="1"/>
  <c r="J74" i="5" s="1"/>
  <c r="J76" i="5" s="1"/>
  <c r="L52" i="5"/>
  <c r="L39" i="5" s="1"/>
  <c r="K22" i="5"/>
  <c r="L18" i="5"/>
  <c r="L19" i="5" s="1"/>
  <c r="M120" i="5"/>
  <c r="M13" i="5" s="1"/>
  <c r="J223" i="5" s="1"/>
  <c r="O124" i="5"/>
  <c r="N64" i="5"/>
  <c r="N67" i="5" s="1"/>
  <c r="Q85" i="5" l="1"/>
  <c r="N225" i="5"/>
  <c r="I221" i="5"/>
  <c r="I222" i="5" s="1"/>
  <c r="I226" i="5" s="1"/>
  <c r="I227" i="5" s="1"/>
  <c r="K99" i="5"/>
  <c r="K101" i="5" s="1"/>
  <c r="K103" i="5" s="1"/>
  <c r="K105" i="5" s="1"/>
  <c r="K45" i="5" s="1"/>
  <c r="M121" i="5"/>
  <c r="M52" i="5" s="1"/>
  <c r="L21" i="5"/>
  <c r="L73" i="5" s="1"/>
  <c r="L81" i="5"/>
  <c r="L86" i="5" s="1"/>
  <c r="M83" i="5"/>
  <c r="M14" i="5"/>
  <c r="O126" i="5"/>
  <c r="O131" i="5" s="1"/>
  <c r="O133" i="5" s="1"/>
  <c r="O127" i="5"/>
  <c r="N117" i="5"/>
  <c r="M17" i="5" l="1"/>
  <c r="J220" i="5"/>
  <c r="K57" i="5"/>
  <c r="K135" i="5"/>
  <c r="K138" i="5" s="1"/>
  <c r="K140" i="5" s="1"/>
  <c r="K142" i="5" s="1"/>
  <c r="O15" i="5"/>
  <c r="O84" i="5" s="1"/>
  <c r="O100" i="5"/>
  <c r="L104" i="5"/>
  <c r="K71" i="5"/>
  <c r="K72" i="5" s="1"/>
  <c r="K74" i="5" s="1"/>
  <c r="L22" i="5"/>
  <c r="M18" i="5"/>
  <c r="M19" i="5" s="1"/>
  <c r="M39" i="5"/>
  <c r="N120" i="5"/>
  <c r="N13" i="5" s="1"/>
  <c r="K223" i="5" s="1"/>
  <c r="P124" i="5"/>
  <c r="O64" i="5"/>
  <c r="O67" i="5" s="1"/>
  <c r="J221" i="5" l="1"/>
  <c r="J222" i="5" s="1"/>
  <c r="J226" i="5" s="1"/>
  <c r="J227" i="5" s="1"/>
  <c r="K76" i="5"/>
  <c r="L99" i="5"/>
  <c r="L101" i="5" s="1"/>
  <c r="L103" i="5" s="1"/>
  <c r="L105" i="5" s="1"/>
  <c r="L45" i="5" s="1"/>
  <c r="N83" i="5"/>
  <c r="N14" i="5"/>
  <c r="N121" i="5"/>
  <c r="N52" i="5" s="1"/>
  <c r="M21" i="5"/>
  <c r="M73" i="5" s="1"/>
  <c r="M81" i="5"/>
  <c r="M86" i="5" s="1"/>
  <c r="P126" i="5"/>
  <c r="P131" i="5" s="1"/>
  <c r="P133" i="5" s="1"/>
  <c r="P127" i="5"/>
  <c r="M104" i="5" l="1"/>
  <c r="L135" i="5"/>
  <c r="L138" i="5" s="1"/>
  <c r="L140" i="5" s="1"/>
  <c r="L142" i="5" s="1"/>
  <c r="N17" i="5"/>
  <c r="N18" i="5" s="1"/>
  <c r="N19" i="5" s="1"/>
  <c r="K220" i="5"/>
  <c r="P15" i="5"/>
  <c r="P84" i="5" s="1"/>
  <c r="P100" i="5"/>
  <c r="L57" i="5"/>
  <c r="L71" i="5"/>
  <c r="L72" i="5" s="1"/>
  <c r="L74" i="5" s="1"/>
  <c r="O117" i="5"/>
  <c r="M22" i="5"/>
  <c r="N39" i="5"/>
  <c r="O120" i="5"/>
  <c r="O13" i="5" s="1"/>
  <c r="L223" i="5" s="1"/>
  <c r="Q124" i="5"/>
  <c r="P64" i="5"/>
  <c r="P67" i="5" s="1"/>
  <c r="K221" i="5" l="1"/>
  <c r="K222" i="5" s="1"/>
  <c r="K226" i="5" s="1"/>
  <c r="K227" i="5" s="1"/>
  <c r="M99" i="5"/>
  <c r="M101" i="5" s="1"/>
  <c r="M103" i="5" s="1"/>
  <c r="M105" i="5" s="1"/>
  <c r="M45" i="5" s="1"/>
  <c r="L76" i="5"/>
  <c r="O121" i="5"/>
  <c r="O52" i="5" s="1"/>
  <c r="N81" i="5"/>
  <c r="N86" i="5" s="1"/>
  <c r="N21" i="5"/>
  <c r="N73" i="5" s="1"/>
  <c r="O83" i="5"/>
  <c r="O14" i="5"/>
  <c r="Q126" i="5"/>
  <c r="Q127" i="5"/>
  <c r="N104" i="5" l="1"/>
  <c r="M135" i="5"/>
  <c r="M138" i="5" s="1"/>
  <c r="M140" i="5" s="1"/>
  <c r="M142" i="5" s="1"/>
  <c r="Q64" i="5"/>
  <c r="Q67" i="5" s="1"/>
  <c r="Q131" i="5"/>
  <c r="Q133" i="5" s="1"/>
  <c r="O17" i="5"/>
  <c r="L220" i="5"/>
  <c r="P117" i="5"/>
  <c r="M57" i="5"/>
  <c r="Q15" i="5"/>
  <c r="Q84" i="5" s="1"/>
  <c r="Q100" i="5"/>
  <c r="M71" i="5"/>
  <c r="M72" i="5" s="1"/>
  <c r="M74" i="5" s="1"/>
  <c r="O39" i="5"/>
  <c r="N22" i="5"/>
  <c r="O18" i="5"/>
  <c r="O19" i="5" s="1"/>
  <c r="P120" i="5"/>
  <c r="P13" i="5" s="1"/>
  <c r="M223" i="5" s="1"/>
  <c r="L221" i="5" l="1"/>
  <c r="L222" i="5" s="1"/>
  <c r="L226" i="5" s="1"/>
  <c r="L227" i="5" s="1"/>
  <c r="M76" i="5"/>
  <c r="N99" i="5"/>
  <c r="N101" i="5" s="1"/>
  <c r="N103" i="5" s="1"/>
  <c r="N105" i="5" s="1"/>
  <c r="N45" i="5" s="1"/>
  <c r="P121" i="5"/>
  <c r="P52" i="5" s="1"/>
  <c r="O21" i="5"/>
  <c r="O73" i="5" s="1"/>
  <c r="O81" i="5"/>
  <c r="O86" i="5" s="1"/>
  <c r="P83" i="5"/>
  <c r="P14" i="5"/>
  <c r="P17" i="5" l="1"/>
  <c r="M220" i="5"/>
  <c r="N57" i="5"/>
  <c r="N135" i="5"/>
  <c r="N138" i="5" s="1"/>
  <c r="N140" i="5" s="1"/>
  <c r="N142" i="5" s="1"/>
  <c r="Q117" i="5"/>
  <c r="O104" i="5"/>
  <c r="N71" i="5"/>
  <c r="N72" i="5" s="1"/>
  <c r="N74" i="5" s="1"/>
  <c r="N76" i="5" s="1"/>
  <c r="P39" i="5"/>
  <c r="O22" i="5"/>
  <c r="P18" i="5"/>
  <c r="P19" i="5" s="1"/>
  <c r="Q120" i="5"/>
  <c r="Q13" i="5" s="1"/>
  <c r="N223" i="5" s="1"/>
  <c r="M221" i="5" l="1"/>
  <c r="M222" i="5" s="1"/>
  <c r="M226" i="5" s="1"/>
  <c r="M227" i="5" s="1"/>
  <c r="O99" i="5"/>
  <c r="O101" i="5" s="1"/>
  <c r="O103" i="5" s="1"/>
  <c r="O105" i="5" s="1"/>
  <c r="O45" i="5" s="1"/>
  <c r="P21" i="5"/>
  <c r="P73" i="5" s="1"/>
  <c r="P81" i="5"/>
  <c r="P86" i="5" s="1"/>
  <c r="Q83" i="5"/>
  <c r="Q14" i="5"/>
  <c r="Q121" i="5"/>
  <c r="Q52" i="5" s="1"/>
  <c r="Q39" i="5" s="1"/>
  <c r="P104" i="5" l="1"/>
  <c r="O135" i="5"/>
  <c r="O138" i="5" s="1"/>
  <c r="O140" i="5" s="1"/>
  <c r="O142" i="5" s="1"/>
  <c r="Q17" i="5"/>
  <c r="Q18" i="5" s="1"/>
  <c r="Q19" i="5" s="1"/>
  <c r="N220" i="5"/>
  <c r="O57" i="5"/>
  <c r="O71" i="5"/>
  <c r="O72" i="5" s="1"/>
  <c r="O74" i="5" s="1"/>
  <c r="P22" i="5"/>
  <c r="C235" i="5" l="1"/>
  <c r="C236" i="5" s="1"/>
  <c r="N221" i="5"/>
  <c r="N222" i="5" s="1"/>
  <c r="N226" i="5" s="1"/>
  <c r="O76" i="5"/>
  <c r="P99" i="5"/>
  <c r="P101" i="5" s="1"/>
  <c r="P103" i="5" s="1"/>
  <c r="P105" i="5" s="1"/>
  <c r="P45" i="5" s="1"/>
  <c r="Q81" i="5"/>
  <c r="Q86" i="5" s="1"/>
  <c r="Q21" i="5"/>
  <c r="N227" i="5" l="1"/>
  <c r="O226" i="5"/>
  <c r="Q104" i="5"/>
  <c r="P135" i="5"/>
  <c r="P138" i="5" s="1"/>
  <c r="P140" i="5" s="1"/>
  <c r="P142" i="5" s="1"/>
  <c r="P57" i="5"/>
  <c r="P71" i="5"/>
  <c r="P72" i="5" s="1"/>
  <c r="P74" i="5" s="1"/>
  <c r="Q22" i="5"/>
  <c r="Q73" i="5"/>
  <c r="O227" i="5" l="1"/>
  <c r="C228" i="5" s="1"/>
  <c r="H235" i="5" s="1"/>
  <c r="C7" i="2" s="1"/>
  <c r="C237" i="5"/>
  <c r="I235" i="5" s="1"/>
  <c r="C8" i="2" s="1"/>
  <c r="P76" i="5"/>
  <c r="Q99" i="5"/>
  <c r="Q101" i="5" s="1"/>
  <c r="Q103" i="5" s="1"/>
  <c r="Q105" i="5" s="1"/>
  <c r="Q45" i="5" s="1"/>
  <c r="I238" i="5" l="1"/>
  <c r="C239" i="5"/>
  <c r="H238" i="5"/>
  <c r="C230" i="5"/>
  <c r="Q57" i="5"/>
  <c r="Q135" i="5"/>
  <c r="Q138" i="5" s="1"/>
  <c r="Q140" i="5" s="1"/>
  <c r="Q142" i="5" s="1"/>
  <c r="Q71" i="5"/>
  <c r="Q72" i="5" s="1"/>
  <c r="Q74" i="5" s="1"/>
  <c r="Q76" i="5" s="1"/>
  <c r="I240" i="5" l="1"/>
  <c r="C258" i="5" s="1"/>
  <c r="D8" i="2"/>
  <c r="H240" i="5"/>
  <c r="D7" i="2"/>
  <c r="I243" i="5" l="1"/>
  <c r="E8" i="2"/>
  <c r="G8" i="2" s="1"/>
  <c r="H8" i="2" s="1"/>
  <c r="I8" i="2" s="1"/>
  <c r="C212" i="5"/>
  <c r="E7" i="2"/>
  <c r="G7" i="2" s="1"/>
  <c r="H7" i="2" s="1"/>
  <c r="I7" i="2" s="1"/>
  <c r="C249" i="5"/>
  <c r="H243" i="5"/>
  <c r="I199" i="5"/>
</calcChain>
</file>

<file path=xl/sharedStrings.xml><?xml version="1.0" encoding="utf-8"?>
<sst xmlns="http://schemas.openxmlformats.org/spreadsheetml/2006/main" count="657" uniqueCount="535">
  <si>
    <t>UltraTech Cement Ltd</t>
  </si>
  <si>
    <t>(All figures are in ₹ Crore, Except per share)</t>
  </si>
  <si>
    <t>#</t>
  </si>
  <si>
    <t>Income Statement</t>
  </si>
  <si>
    <t>Revenue from Operations</t>
  </si>
  <si>
    <t>Other Income</t>
  </si>
  <si>
    <t>TOTAL INCOME (I)</t>
  </si>
  <si>
    <t>EXPENSES</t>
  </si>
  <si>
    <t>Cost of Materials Consumed</t>
  </si>
  <si>
    <t>Purchases of Stock-in-Trade</t>
  </si>
  <si>
    <t>Changes in Inventories of Finished Goods, Stock-in-Trade and Work-in-Progress</t>
  </si>
  <si>
    <t>Employee Benefits Expense</t>
  </si>
  <si>
    <t>Finance Costs</t>
  </si>
  <si>
    <t>Depreciation and Amortisation Expense</t>
  </si>
  <si>
    <t>Power and Fuel Expense</t>
  </si>
  <si>
    <t>Freight and Forwarding Expense</t>
  </si>
  <si>
    <t>Other Expenses</t>
  </si>
  <si>
    <t>TOTAL EXPENSES (II)</t>
  </si>
  <si>
    <t>Exceptional Items :</t>
  </si>
  <si>
    <t>Provision for Impairment in value of Investment</t>
  </si>
  <si>
    <t>Statutory Impact of New Labour Codes</t>
  </si>
  <si>
    <t>Stamp duty on Business Combination</t>
  </si>
  <si>
    <t>Profit before Share in Profit / (Loss) of Associates and Joint Venture and Tax Expense</t>
  </si>
  <si>
    <t>Share in Profit / (Loss) of Associate and Joint Venture (net of Tax expense)</t>
  </si>
  <si>
    <t>Profit before Tax Expense</t>
  </si>
  <si>
    <t>Tax Expense:</t>
  </si>
  <si>
    <t>Current Tax Charge</t>
  </si>
  <si>
    <t>Deferred Tax Charge</t>
  </si>
  <si>
    <t>Total Tax Expense</t>
  </si>
  <si>
    <t>Profit for the period (III)</t>
  </si>
  <si>
    <t xml:space="preserve">Profit before Exceptional Items, Share in Profit / (Loss) of Associates and Joint Venture and Tax expense </t>
  </si>
  <si>
    <t>Basic EPS</t>
  </si>
  <si>
    <t>Diluted EPS</t>
  </si>
  <si>
    <t>ASSETS</t>
  </si>
  <si>
    <t>Non-Current Assets</t>
  </si>
  <si>
    <t>Property, Plant and Equipment</t>
  </si>
  <si>
    <t>Capital Work-in-Progress</t>
  </si>
  <si>
    <t>Right of Use Assets</t>
  </si>
  <si>
    <t>Goodwill</t>
  </si>
  <si>
    <t>Other Intangible Assets</t>
  </si>
  <si>
    <t>Intangible Assets under development</t>
  </si>
  <si>
    <t>Investments Accounted using Equity Method</t>
  </si>
  <si>
    <t>Financial Assets:</t>
  </si>
  <si>
    <t>Investments</t>
  </si>
  <si>
    <t>Loans</t>
  </si>
  <si>
    <t>Other Financial Assets</t>
  </si>
  <si>
    <t>Income Tax Assets (Net)</t>
  </si>
  <si>
    <t>Deferred Tax Assets (Net)</t>
  </si>
  <si>
    <t>Other Non-Current Assets</t>
  </si>
  <si>
    <t>Total Non-Current Assets</t>
  </si>
  <si>
    <t>Current Assets</t>
  </si>
  <si>
    <t>Inventories</t>
  </si>
  <si>
    <t>Financial Assets</t>
  </si>
  <si>
    <t>Trade Receivables</t>
  </si>
  <si>
    <t>Cash and Cash Equivalents</t>
  </si>
  <si>
    <t>Bank Balances other than Cash and Cash Equivalents</t>
  </si>
  <si>
    <t>Other Current Assets</t>
  </si>
  <si>
    <t>Total Current Assets</t>
  </si>
  <si>
    <t>Asset Held for Sale</t>
  </si>
  <si>
    <t>TOTAL ASSETS</t>
  </si>
  <si>
    <t>EQUITY AND LIABILITIES</t>
  </si>
  <si>
    <t>EQUITY</t>
  </si>
  <si>
    <t>Equity Share Capital</t>
  </si>
  <si>
    <t>Other Equity</t>
  </si>
  <si>
    <t>Non-Controlling Interest</t>
  </si>
  <si>
    <t>LIABILITIES</t>
  </si>
  <si>
    <t>Non-Current Liabilities</t>
  </si>
  <si>
    <t>Financial Liabilities</t>
  </si>
  <si>
    <t>Borrowings</t>
  </si>
  <si>
    <t>Lease Liabilities</t>
  </si>
  <si>
    <t>Other Financial Liabilities</t>
  </si>
  <si>
    <t>Provisions</t>
  </si>
  <si>
    <t>Deferred Tax Liabilities (Net)</t>
  </si>
  <si>
    <t>Other Non-Current Liabilities</t>
  </si>
  <si>
    <t>Total Non-Current Liabilities</t>
  </si>
  <si>
    <t>Current Liabilities</t>
  </si>
  <si>
    <t>Trade Payables</t>
  </si>
  <si>
    <t>Total outstanding dues of Micro and Small Enterprises</t>
  </si>
  <si>
    <t>Other Current Liabilities</t>
  </si>
  <si>
    <t>Current Tax Liabilities (Net)</t>
  </si>
  <si>
    <t>Total Current Liabilities</t>
  </si>
  <si>
    <t>TOTAL EQUITY AND LIABILITIES</t>
  </si>
  <si>
    <t>Total Equity</t>
  </si>
  <si>
    <t>Total outstanding dues of creditors other than Micro and Small Enterprises</t>
  </si>
  <si>
    <t>Share Application Money Pending Allotment</t>
  </si>
  <si>
    <t>Cash Flow Statement</t>
  </si>
  <si>
    <t>(A) Cash Flows from Operating Activities:</t>
  </si>
  <si>
    <t>Profit Before tax</t>
  </si>
  <si>
    <t>Adjustments for:</t>
  </si>
  <si>
    <t>Depreciation and Amortisation Expense (Refer Note 32)</t>
  </si>
  <si>
    <t>Gain on Fair Valuation of Investments</t>
  </si>
  <si>
    <t>Gain on Fair Valuation of SGST / VAT Deferment Loan</t>
  </si>
  <si>
    <t>Unrealised Exchange (Gain)/ Loss</t>
  </si>
  <si>
    <t>Share in (Profit) / Loss on equity accounted investment</t>
  </si>
  <si>
    <t>Impairment in value of Investments/ Assets</t>
  </si>
  <si>
    <t>Compensation Expenses under Employees Stock Options Scheme</t>
  </si>
  <si>
    <t>Allowances for credit losses on Advances / debts (net)</t>
  </si>
  <si>
    <t>Bad Debts Written-off</t>
  </si>
  <si>
    <t>Excess Provision / unclaimed liabilities written back (net)</t>
  </si>
  <si>
    <t>Provision for Stamp Duty on Business Combination</t>
  </si>
  <si>
    <t>Interest and Dividend Income</t>
  </si>
  <si>
    <t>Profit on Sale / Retirement of Property, Plant and Equipment</t>
  </si>
  <si>
    <t>Profit on Sale of Current and Non-Current Investments (net)</t>
  </si>
  <si>
    <t>Movements in working capital:</t>
  </si>
  <si>
    <t>Increase/ (Decrease) in Trade payables and other Liabilities</t>
  </si>
  <si>
    <t>Increase/ (Decrease) in Provisions</t>
  </si>
  <si>
    <t>Increase in Trade receivables</t>
  </si>
  <si>
    <t>Increase in Inventories</t>
  </si>
  <si>
    <t>(Increase) / Decrease in Financial and Other Assets</t>
  </si>
  <si>
    <t>Cash generated from Operations</t>
  </si>
  <si>
    <t>Taxes paid (net of refund)</t>
  </si>
  <si>
    <t>Net Cash generated from Operating Activities (A)</t>
  </si>
  <si>
    <t>(B) Cash Flows from Investing Activities:</t>
  </si>
  <si>
    <t>Purchase of Property, Plant and Equipment</t>
  </si>
  <si>
    <t>Proceeds from Sale of Property, Plant and Equipment</t>
  </si>
  <si>
    <t>Payment for Cost of transfer of Assets</t>
  </si>
  <si>
    <t>(Purchase) / Redemption of Liquid Investment (net)</t>
  </si>
  <si>
    <t>Purchase of Investments</t>
  </si>
  <si>
    <t>Proceeds from Sale of Investments</t>
  </si>
  <si>
    <t>Redemption / (Investment) of Non-Current Fixed Deposits with Bank and Others</t>
  </si>
  <si>
    <t>Investment in Joint Venture and Associates</t>
  </si>
  <si>
    <t>Acquisition of Equity Shares in Subsidiary (Refer Note 40)</t>
  </si>
  <si>
    <t>(Investment) / Redemption in Other Bank deposits and Others</t>
  </si>
  <si>
    <t>Investment in Other Non-Current Equity Investments (Net)</t>
  </si>
  <si>
    <t>Sale of Equity Shares in a Subsidiary</t>
  </si>
  <si>
    <t>Dividend Received</t>
  </si>
  <si>
    <t>Interest Received</t>
  </si>
  <si>
    <t>Net Cash used in Investing Activities (B)</t>
  </si>
  <si>
    <t>(C) Cash Flows from Financing Activities:</t>
  </si>
  <si>
    <t>Proceeds from Issue of Share Capital on exercise of ESOS</t>
  </si>
  <si>
    <t>Purchase of Treasury Shares</t>
  </si>
  <si>
    <t>Proceeds from Issue of Treasury Shares</t>
  </si>
  <si>
    <t>Repayment of Non-Current Borrowings</t>
  </si>
  <si>
    <t>Proceeds from Non-Current Borrowings</t>
  </si>
  <si>
    <t>Proceeds from Current Borrowings (net)</t>
  </si>
  <si>
    <t>Repayment of Lease Liabilities</t>
  </si>
  <si>
    <t>Interest Paid on Lease Liabilities</t>
  </si>
  <si>
    <t>Interest Paid</t>
  </si>
  <si>
    <t>Dividend Paid</t>
  </si>
  <si>
    <t>Net Cash (used in) / generated from Financing Activities (C)</t>
  </si>
  <si>
    <t>(D) Net Decrease in Cash and Cash Equivalents (A + B + C)</t>
  </si>
  <si>
    <t>(E) Cash and Cash Equivalents at the Beginning of the Year (Refer Note 13)</t>
  </si>
  <si>
    <t>Cash and Cash Equivalents at End of the Year</t>
  </si>
  <si>
    <t>(F) Other Items</t>
  </si>
  <si>
    <t>Financial Statement &amp; DCF Analysis</t>
  </si>
  <si>
    <t>Revenue</t>
  </si>
  <si>
    <t>COGS</t>
  </si>
  <si>
    <t>Gross Profit</t>
  </si>
  <si>
    <t>Salaries &amp; Benefits</t>
  </si>
  <si>
    <t>Other SG&amp;A Expenses</t>
  </si>
  <si>
    <t>EBITDA</t>
  </si>
  <si>
    <t>Depreciation &amp; Amortization</t>
  </si>
  <si>
    <t>EBIT</t>
  </si>
  <si>
    <t>Interest Expense</t>
  </si>
  <si>
    <t>EBT</t>
  </si>
  <si>
    <t>Tax</t>
  </si>
  <si>
    <t>Net Profit</t>
  </si>
  <si>
    <t>Balance Sheet</t>
  </si>
  <si>
    <t>Ratios &amp; Assumptions</t>
  </si>
  <si>
    <t>Scenario</t>
  </si>
  <si>
    <t>Revenue Growth</t>
  </si>
  <si>
    <t>COGS as % of Sales</t>
  </si>
  <si>
    <t>Salaries &amp; benefits as % of Revenue</t>
  </si>
  <si>
    <t>Other SG&amp;A Expenses as % of Revenue</t>
  </si>
  <si>
    <t>D&amp;A as % of opening PP&amp;E</t>
  </si>
  <si>
    <t>Other Income (Expense) as % of Revenue</t>
  </si>
  <si>
    <t>Taxes Rate</t>
  </si>
  <si>
    <t>Dividend payout ratio</t>
  </si>
  <si>
    <t>DSO</t>
  </si>
  <si>
    <t>DIO</t>
  </si>
  <si>
    <t>DPO</t>
  </si>
  <si>
    <t>Capital Asset Turnover Ratio</t>
  </si>
  <si>
    <t xml:space="preserve">Cash </t>
  </si>
  <si>
    <t>Bank Deposits</t>
  </si>
  <si>
    <t>Account Receivable</t>
  </si>
  <si>
    <t>Inventory</t>
  </si>
  <si>
    <t>Other current assets</t>
  </si>
  <si>
    <t>Non Current Assets</t>
  </si>
  <si>
    <t>Property, Plant &amp; Equipment</t>
  </si>
  <si>
    <t>Investment in associates and joint venture</t>
  </si>
  <si>
    <t>Other non current assets</t>
  </si>
  <si>
    <t>Total Assets</t>
  </si>
  <si>
    <t>Account Paybles</t>
  </si>
  <si>
    <t>Other current liability</t>
  </si>
  <si>
    <t>Non current liability</t>
  </si>
  <si>
    <t>Other non current liability</t>
  </si>
  <si>
    <t>Total Liabilities</t>
  </si>
  <si>
    <t>Shareholder's Equity</t>
  </si>
  <si>
    <t>Retained Earnings</t>
  </si>
  <si>
    <t>Non Controlling Interest</t>
  </si>
  <si>
    <t>Total Equity &amp; Liability</t>
  </si>
  <si>
    <t>Balance Check</t>
  </si>
  <si>
    <t>Deferred Tax Liability</t>
  </si>
  <si>
    <t>NA</t>
  </si>
  <si>
    <t>Cash from operating activities</t>
  </si>
  <si>
    <t>Net Income</t>
  </si>
  <si>
    <t>Add/Less: Adjustment for non operating items</t>
  </si>
  <si>
    <t>Add/Less: Adjustment for Working Capital Changes</t>
  </si>
  <si>
    <t>Cash From Operating Activities</t>
  </si>
  <si>
    <t>Cash From Investing Activities</t>
  </si>
  <si>
    <t>Sale of PP&amp;E</t>
  </si>
  <si>
    <t>Purchases / sale of investments</t>
  </si>
  <si>
    <t>Cash From Financing Activities</t>
  </si>
  <si>
    <t>Issuance/Repayment of Debt</t>
  </si>
  <si>
    <t>Net change in cash</t>
  </si>
  <si>
    <t>Add: Cash at beginning of period</t>
  </si>
  <si>
    <t>Cash at end of period</t>
  </si>
  <si>
    <t>Net Issuance/(Purchase) of Equity &amp; Treasury Shares</t>
  </si>
  <si>
    <t>Supporting Schedules</t>
  </si>
  <si>
    <t>Working Capital</t>
  </si>
  <si>
    <t>Accounts Receivables</t>
  </si>
  <si>
    <t>Accounts Paybles</t>
  </si>
  <si>
    <t>Other Adjustments</t>
  </si>
  <si>
    <t>Total</t>
  </si>
  <si>
    <t>Property Plant &amp; Equipment</t>
  </si>
  <si>
    <t>Beginning of period</t>
  </si>
  <si>
    <t>Add: Capex</t>
  </si>
  <si>
    <t>Less: Depreciation</t>
  </si>
  <si>
    <t>End of period</t>
  </si>
  <si>
    <t>Debt &amp; Interest</t>
  </si>
  <si>
    <t>Issuance (Repayment)</t>
  </si>
  <si>
    <t>Interest expense</t>
  </si>
  <si>
    <t>Add: Acquisition , leases and other</t>
  </si>
  <si>
    <t>Tax charge on p&amp;l but not paid in cash</t>
  </si>
  <si>
    <t>Profit / (Loss) attributable to Non-Controlling Interest</t>
  </si>
  <si>
    <t>Less : Profit attributable to NCI</t>
  </si>
  <si>
    <t>Net profit attributable to owners</t>
  </si>
  <si>
    <t>Debt (incl. lease liabilities)</t>
  </si>
  <si>
    <t>Interest as % of average debt</t>
  </si>
  <si>
    <t>Goodwill &amp; Intangibles</t>
  </si>
  <si>
    <t>Purchase of PP&amp;E</t>
  </si>
  <si>
    <t>Gross Debt</t>
  </si>
  <si>
    <t>Cash</t>
  </si>
  <si>
    <t>Bank</t>
  </si>
  <si>
    <t>Current Investments</t>
  </si>
  <si>
    <t>Total Cash</t>
  </si>
  <si>
    <t>Net Debt</t>
  </si>
  <si>
    <t>Net Debt / EBITDA</t>
  </si>
  <si>
    <t>Operating Data</t>
  </si>
  <si>
    <t xml:space="preserve">Volumes in million tonnes (MMT); capacity in MTPA; ₹ per tonne unless stated; ₹ crore for capex. </t>
  </si>
  <si>
    <t>Capacity &amp; Volume</t>
  </si>
  <si>
    <t>Installed capacity, grey cement India (MTPA, year end)</t>
  </si>
  <si>
    <t>Capacity additions (MTPA)</t>
  </si>
  <si>
    <t>Total sales volume (MMT)</t>
  </si>
  <si>
    <t>Capacity utilisation (sales volume ÷ average capacity)</t>
  </si>
  <si>
    <t>Realisation per tonne (₹/tonne)</t>
  </si>
  <si>
    <t>Realisation growth</t>
  </si>
  <si>
    <t>Cost per Tonne (₹ per tonne)</t>
  </si>
  <si>
    <t>COGS per tonne (materials, power &amp; fuel)</t>
  </si>
  <si>
    <t>COGS cost inflation</t>
  </si>
  <si>
    <t>Salaries &amp; benefits per tonne</t>
  </si>
  <si>
    <t>Salaries cost inflation</t>
  </si>
  <si>
    <t>Other expenses per tonne (incl. freight)</t>
  </si>
  <si>
    <t>Other expenses cost inflation</t>
  </si>
  <si>
    <t>EBITDA per tonne (₹/tonne)</t>
  </si>
  <si>
    <t>Capex Drivers</t>
  </si>
  <si>
    <t>Expansion capex per MTPA of capacity added (₹ crore)</t>
  </si>
  <si>
    <t>Expansion capex cost inflation</t>
  </si>
  <si>
    <t>Maintenance capex (% of revenue)</t>
  </si>
  <si>
    <t>Additions already funded (MTPA, capex spent in earlier years)</t>
  </si>
  <si>
    <t>NCI Share of net profit</t>
  </si>
  <si>
    <t>Scenario Inputs (switch in Model!D26: 1 = Base, 2 = Bull, 3 = Bear)</t>
  </si>
  <si>
    <t>Capacity utilisation: Base</t>
  </si>
  <si>
    <t>Capacity utilisation: Bull</t>
  </si>
  <si>
    <t>Capacity utilisation: Bear</t>
  </si>
  <si>
    <t>Realisation growth: Base</t>
  </si>
  <si>
    <t>Realisation growth: Bull</t>
  </si>
  <si>
    <t>Realisation growth: Bear</t>
  </si>
  <si>
    <t>Bull Spread vs Base (Utilization)</t>
  </si>
  <si>
    <t>Bear Spread vs Base (Utilization)</t>
  </si>
  <si>
    <t>Bull Spread vs Base (Realization)</t>
  </si>
  <si>
    <t>Bear Spread vs Base (Realization)</t>
  </si>
  <si>
    <t>Comps Valuation</t>
  </si>
  <si>
    <t xml:space="preserve"> </t>
  </si>
  <si>
    <t>Market Data</t>
  </si>
  <si>
    <t>Financial Data</t>
  </si>
  <si>
    <t>Valuation</t>
  </si>
  <si>
    <t>Price</t>
  </si>
  <si>
    <t>Shares</t>
  </si>
  <si>
    <t>Market cap.</t>
  </si>
  <si>
    <t>Debt</t>
  </si>
  <si>
    <t>Cash &amp; cash</t>
  </si>
  <si>
    <t>EV</t>
  </si>
  <si>
    <t>Sales</t>
  </si>
  <si>
    <t>Earnings</t>
  </si>
  <si>
    <t>EV / Sales</t>
  </si>
  <si>
    <t>EV / EBITDA</t>
  </si>
  <si>
    <t>P / E</t>
  </si>
  <si>
    <t>Company Name</t>
  </si>
  <si>
    <t>₹ / Share</t>
  </si>
  <si>
    <t>in cr</t>
  </si>
  <si>
    <t>₹ cr</t>
  </si>
  <si>
    <t>Equivalents</t>
  </si>
  <si>
    <t>X</t>
  </si>
  <si>
    <t>S.No.</t>
  </si>
  <si>
    <t>Company</t>
  </si>
  <si>
    <t>CMP Rs.</t>
  </si>
  <si>
    <t>No. Eq. Shares Cr.</t>
  </si>
  <si>
    <t>Debt Rs.Cr.</t>
  </si>
  <si>
    <t>Cash Rs.Cr.</t>
  </si>
  <si>
    <t>Sales Rs.Cr.</t>
  </si>
  <si>
    <t>NP Ann Rs.Cr.</t>
  </si>
  <si>
    <t>UltraTech Cem.</t>
  </si>
  <si>
    <t>Ambuja Cements</t>
  </si>
  <si>
    <t>Shree Cement</t>
  </si>
  <si>
    <t>J K Cements</t>
  </si>
  <si>
    <t>ACC</t>
  </si>
  <si>
    <t>The Ramco Cement</t>
  </si>
  <si>
    <t>Average</t>
  </si>
  <si>
    <t>Median</t>
  </si>
  <si>
    <t>Comps</t>
  </si>
  <si>
    <t>Equity Value</t>
  </si>
  <si>
    <t>Share Price</t>
  </si>
  <si>
    <t>Metrics</t>
  </si>
  <si>
    <t>P/E</t>
  </si>
  <si>
    <t>Equity Market Return</t>
  </si>
  <si>
    <t>Date</t>
  </si>
  <si>
    <t>Index</t>
  </si>
  <si>
    <t>Close Price</t>
  </si>
  <si>
    <t>Nifty 50 TRI</t>
  </si>
  <si>
    <t>No. of Years</t>
  </si>
  <si>
    <t xml:space="preserve">CAGR </t>
  </si>
  <si>
    <t>Weighted Average Cost of Capital (WACC)</t>
  </si>
  <si>
    <t>Comparable Companies Beta</t>
  </si>
  <si>
    <t>Equity</t>
  </si>
  <si>
    <t>Value</t>
  </si>
  <si>
    <t xml:space="preserve">Total </t>
  </si>
  <si>
    <t>Debt/</t>
  </si>
  <si>
    <t>Capital</t>
  </si>
  <si>
    <t>Rate %</t>
  </si>
  <si>
    <t xml:space="preserve">Levered </t>
  </si>
  <si>
    <t>Beta</t>
  </si>
  <si>
    <t>Unlevered</t>
  </si>
  <si>
    <t>Tax Rate</t>
  </si>
  <si>
    <t>Dalmia Bharat Ltd</t>
  </si>
  <si>
    <t>Target Capital Structure</t>
  </si>
  <si>
    <t>Proportion of Debt</t>
  </si>
  <si>
    <t>Proportion of Equity</t>
  </si>
  <si>
    <t>Current Capital Structure</t>
  </si>
  <si>
    <t>Market Cap.</t>
  </si>
  <si>
    <t>Total Debt</t>
  </si>
  <si>
    <t>Debt / Equity</t>
  </si>
  <si>
    <t>Cost of Debt</t>
  </si>
  <si>
    <t>Pre Tax Cost of Debt</t>
  </si>
  <si>
    <t>After Tax Cost of Debt</t>
  </si>
  <si>
    <t>Cost of Equity</t>
  </si>
  <si>
    <t>Risk Free Rate</t>
  </si>
  <si>
    <t>Equity Risk Premium</t>
  </si>
  <si>
    <t>Levered Equity Beta</t>
  </si>
  <si>
    <t>WACC</t>
  </si>
  <si>
    <t>WACC Calculation</t>
  </si>
  <si>
    <t>Company Beta</t>
  </si>
  <si>
    <t xml:space="preserve">Stock </t>
  </si>
  <si>
    <t>% Change</t>
  </si>
  <si>
    <t>Monthly</t>
  </si>
  <si>
    <t>SUMMARY OUTPUT</t>
  </si>
  <si>
    <t>Regression Statistics</t>
  </si>
  <si>
    <t>Multiple R</t>
  </si>
  <si>
    <t>R Square</t>
  </si>
  <si>
    <t>Adjusted R Square</t>
  </si>
  <si>
    <t>Standard Error</t>
  </si>
  <si>
    <t>Observations</t>
  </si>
  <si>
    <t>ANOVA</t>
  </si>
  <si>
    <t>Regression</t>
  </si>
  <si>
    <t>Residual</t>
  </si>
  <si>
    <t>Intercept</t>
  </si>
  <si>
    <t>df</t>
  </si>
  <si>
    <t>SS</t>
  </si>
  <si>
    <t>MS</t>
  </si>
  <si>
    <t>F</t>
  </si>
  <si>
    <t>Significance F</t>
  </si>
  <si>
    <t>Coefficients</t>
  </si>
  <si>
    <t>t Stat</t>
  </si>
  <si>
    <t>P-value</t>
  </si>
  <si>
    <t>Lower 95%</t>
  </si>
  <si>
    <t>Upper 95%</t>
  </si>
  <si>
    <t>Lower 95.0%</t>
  </si>
  <si>
    <t>Upper 95.0%</t>
  </si>
  <si>
    <t>X Variable 1</t>
  </si>
  <si>
    <t>DCF Model</t>
  </si>
  <si>
    <t>Assumptions</t>
  </si>
  <si>
    <t>Transaction Date</t>
  </si>
  <si>
    <t>Fiscal Year End</t>
  </si>
  <si>
    <t>Perpetual Growth rate</t>
  </si>
  <si>
    <t>Discount Rate</t>
  </si>
  <si>
    <t>No. of shares outstanding</t>
  </si>
  <si>
    <t>Equity Value per share</t>
  </si>
  <si>
    <t>Levered Beta from regression</t>
  </si>
  <si>
    <t>Unlevered Beta</t>
  </si>
  <si>
    <t>Relevered Beta</t>
  </si>
  <si>
    <t>Discounted Cash Flow</t>
  </si>
  <si>
    <t>Time Period</t>
  </si>
  <si>
    <t>Year Frac</t>
  </si>
  <si>
    <t>Less: Cash Tax</t>
  </si>
  <si>
    <t>NOPAT</t>
  </si>
  <si>
    <t>Plus: Depreciation &amp; Amortization</t>
  </si>
  <si>
    <t>Less: Capex</t>
  </si>
  <si>
    <t>Less: Changes in Working Capital</t>
  </si>
  <si>
    <t>Unlevered FCF</t>
  </si>
  <si>
    <t>Pv of Unlevered FCF</t>
  </si>
  <si>
    <t>Enterprise Value (PV of FCF)</t>
  </si>
  <si>
    <t>Entry</t>
  </si>
  <si>
    <t>Exit</t>
  </si>
  <si>
    <t>Enterprise Value</t>
  </si>
  <si>
    <t>Discounted Terminal Value</t>
  </si>
  <si>
    <t>Enterprise Value (Exit Multiple)</t>
  </si>
  <si>
    <t>Terminal Value (EV / EBITDA)</t>
  </si>
  <si>
    <t>DCF</t>
  </si>
  <si>
    <t>Exit Multiple</t>
  </si>
  <si>
    <t>Shares O/S</t>
  </si>
  <si>
    <t>Equity Value/Share</t>
  </si>
  <si>
    <t>Market Price</t>
  </si>
  <si>
    <t xml:space="preserve">Market Cap. </t>
  </si>
  <si>
    <t>Upside / (Downside) %</t>
  </si>
  <si>
    <t>Sensitivity Analysis</t>
  </si>
  <si>
    <t>Terminal Value (as % of enterprise value)</t>
  </si>
  <si>
    <t xml:space="preserve">Net Debt </t>
  </si>
  <si>
    <t>NCI</t>
  </si>
  <si>
    <t>Perpetual Growth Rate</t>
  </si>
  <si>
    <t>Exit EBITDA Multiple</t>
  </si>
  <si>
    <t>Ratio Analysis</t>
  </si>
  <si>
    <t>Profitability Ratios</t>
  </si>
  <si>
    <t>Gross Margin</t>
  </si>
  <si>
    <t>EBITDA Margin</t>
  </si>
  <si>
    <t>EBIT Margin</t>
  </si>
  <si>
    <t>Pre Tax Margin</t>
  </si>
  <si>
    <t>Effective Tax Rate</t>
  </si>
  <si>
    <t>ROIC</t>
  </si>
  <si>
    <t>Net Margin</t>
  </si>
  <si>
    <t>Dupont / Earning Power</t>
  </si>
  <si>
    <t>Asset Turnover</t>
  </si>
  <si>
    <t>Pretax ROA</t>
  </si>
  <si>
    <t>Pretax ROE</t>
  </si>
  <si>
    <t>Tax Complement</t>
  </si>
  <si>
    <t>ROE</t>
  </si>
  <si>
    <t>Reinvestment Rate</t>
  </si>
  <si>
    <t>Liquidity Ratio</t>
  </si>
  <si>
    <t>Current Ratio</t>
  </si>
  <si>
    <t>Quick Ratio</t>
  </si>
  <si>
    <t>Cash Ratio</t>
  </si>
  <si>
    <t>Cash Conversion Cycle</t>
  </si>
  <si>
    <t>Solvency Ratios</t>
  </si>
  <si>
    <t>Asset / Equity</t>
  </si>
  <si>
    <t>Debt / Total Capital</t>
  </si>
  <si>
    <t>Activity Ratios (Efficiency)</t>
  </si>
  <si>
    <t>Debtor Turnover Ratio</t>
  </si>
  <si>
    <t>Inventory Turnover Ratio</t>
  </si>
  <si>
    <t>DSI</t>
  </si>
  <si>
    <t>Fixed Asset Turnover</t>
  </si>
  <si>
    <t>Interest Coverage</t>
  </si>
  <si>
    <t>Payable Turnover Ratio</t>
  </si>
  <si>
    <t>BSE: 532538  |  NSE: ULTRACEMCO   |  ISIN: INE481G01011 |  Sector: Cement &amp; Building Materials  |  Industry: Cement &amp; cement products</t>
  </si>
  <si>
    <t>Valuation Method</t>
  </si>
  <si>
    <t>Equity Value Available</t>
  </si>
  <si>
    <t>to Equity Shareholders</t>
  </si>
  <si>
    <t>Value Per Share</t>
  </si>
  <si>
    <t>Discount / Premium</t>
  </si>
  <si>
    <t>Discount / Premium %</t>
  </si>
  <si>
    <t>Interpretation</t>
  </si>
  <si>
    <t>Discounted Cash Flow  - Perpetuity Growth</t>
  </si>
  <si>
    <t>Discounted Cash Flow  - Exit Multiple</t>
  </si>
  <si>
    <t>Relative Valuation - EV/EBITDA</t>
  </si>
  <si>
    <t>Relative Valuation - EV/Sales</t>
  </si>
  <si>
    <t>Relative Valuation - Price/Earnings</t>
  </si>
  <si>
    <t>ULTRATECH CEMENT LTD</t>
  </si>
  <si>
    <t>ASSUMPTIONS</t>
  </si>
  <si>
    <t>COLOUR CODE</t>
  </si>
  <si>
    <t>Input / hard-coded figure</t>
  </si>
  <si>
    <t>Blue</t>
  </si>
  <si>
    <t>Calculated figure</t>
  </si>
  <si>
    <t>Black</t>
  </si>
  <si>
    <t>Ratio Assumption</t>
  </si>
  <si>
    <t>Scenario switch</t>
  </si>
  <si>
    <t>Model!D26 selects Base (1), Bull (2) or Bear (3). Only capacity utilisation and realisation growth change by scenario; all other drivers are common. Base case is used for the Summary.</t>
  </si>
  <si>
    <t>Revenue = sales volume x realisation per tonne. Volume = average installed capacity x capacity utilisation (see Operating Data in Model).</t>
  </si>
  <si>
    <t>27.24 MTPA in FY27E, 18.5 in FY28E, 14 in FY29E, tapering to 11 MTPA a year from FY30E, in line with the company's announced expansion pipeline. Capacity grows from 191.4 MTPA (FY26) to 337.1 MTPA (FY36E).</t>
  </si>
  <si>
    <t>Capacity utilisation</t>
  </si>
  <si>
    <t>Base 80% in FY27E, 79% in FY28E and 80% in FY29E, rising gradually to 83% by FY36E (FY26 actual 82.3%). Bull is +2 points and Bear is -4 points versus Base. A new plant ramps up slowly, so near-term utilisation is kept slightly below FY26.</t>
  </si>
  <si>
    <t>Realisation per tonne</t>
  </si>
  <si>
    <t>Grows 3% a year in Base, in line with long-run inflation. Bull 4%, Bear 1.5%. Realisation was almost flat over FY22-FY26 (Rs 5,596 to Rs 5,738 per tonne), so 3% is not aggressive.</t>
  </si>
  <si>
    <t>Cost per tonne</t>
  </si>
  <si>
    <t>COGS (materials, power and fuel) and other expenses per tonne grow 3% a year (inflation). Salaries per tonne grow 5% a year (wage inflation). Costs are driven per tonne, so EBITDA per tonne moves with the realisation-cost gap (Rs 1,103 in FY26 to Rs 1,406 in FY36E).</t>
  </si>
  <si>
    <t>Depreciation (% of opening PP&amp;E)</t>
  </si>
  <si>
    <t>FY26 rate of 5.59% held constant. It is applied on opening PP&amp;E so the number does not depend on the current-year capex.</t>
  </si>
  <si>
    <t>Interest rate on debt</t>
  </si>
  <si>
    <t>FY26 interest / average debt of 7.82%, held constant. Debt includes lease liabilities.</t>
  </si>
  <si>
    <t>Other income (% of revenue)</t>
  </si>
  <si>
    <t>FY26 level of 0.48% held constant. It is small and not a driver of value.</t>
  </si>
  <si>
    <t>Tax rate</t>
  </si>
  <si>
    <t>FY26 effective rate of 25.06% in the P&amp;L forecast. The DCF uses 24.6% from the WACC sheet, which is UltraTech's own effective rate.</t>
  </si>
  <si>
    <t>NCI share of profit</t>
  </si>
  <si>
    <t>FY26 share of 0.28% held constant. NCI is deducted from profit after tax to get profit attributable to owners.</t>
  </si>
  <si>
    <t>FY26 payout of 27.84% of profit attributable to owners, held constant. The ratio is stable at about 15-33% over FY22-FY26, so FY26 is representative.</t>
  </si>
  <si>
    <t>Working capital (DSO / DIO / DPO)</t>
  </si>
  <si>
    <t>Each forecast year uses the average of the previous two years (about 24.5 receivable days, 97.5 inventory days and 98.4 payable days). Only two years are used because the earlier years follow a different base.</t>
  </si>
  <si>
    <t>Capex</t>
  </si>
  <si>
    <t>Expansion capex = capacity added (less capacity already funded, 8.74 MTPA in FY27E) x Rs 432 crore per MTPA (Rs 16,000 crore / 37 MTPA, the announced project cost), inflated 3% a year. Maintenance capex = 2% of revenue.</t>
  </si>
  <si>
    <t>Debt issuance / (repayment)</t>
  </si>
  <si>
    <t>Hard-coded in the debt schedule. It is sized so that cash stays positive in every year while funding the expansion. Net debt / EBITDA falls from 1.1x in FY26 to below zero by FY31E because the business generates more cash than it needs once expansion slows.</t>
  </si>
  <si>
    <t>Other balance sheet items</t>
  </si>
  <si>
    <t>Items not driven by an operating ratio (investments, intangibles, goodwill, other non-current assets and liabilities) are held at the FY26 level.</t>
  </si>
  <si>
    <t>Built with CAPM. Risk-free rate 7.30%, equity risk premium 3.86% (market return 11.16% less risk-free rate), regression beta 1.23 (5 years, monthly, vs Nifty) unlevered at the current D/E and relevered at the target debt weight of 9.3% (peer average) to 1.26. Cost of equity 12.15%. Pre-tax cost of debt 7.82% (interest / average debt), after-tax 5.89%. WACC 11.57%.</t>
  </si>
  <si>
    <t>Perpetual growth rate</t>
  </si>
  <si>
    <t>4.5%: about 3.5% long-run inflation plus about 1% real volume growth. It is below WACC (11.57%), below the risk-free rate (7.30%) and below FY36E revenue growth (6.5%).</t>
  </si>
  <si>
    <t>Terminal value</t>
  </si>
  <si>
    <t>Calculated two ways and reported separately in the Summary: (1) Gordon Growth on FY36E free cash flow at 4.5%; (2) exit EV/EBITDA multiple of 14.5x, the median of the peers. Terminal capex is held at the FY36E level, which is conservative.</t>
  </si>
  <si>
    <t>Equity bridge</t>
  </si>
  <si>
    <t>Equity value = enterprise value - net debt - non-controlling interest. Net debt (Rs 18,635 crore) includes lease liabilities and deducts cash, bank deposits and current investments; non-current investments are excluded. NCI is deducted at book value (Rs 4,089 crore).</t>
  </si>
  <si>
    <t>Comparable companies / market data</t>
  </si>
  <si>
    <t>Peer data is taken from Screener for FY26 (sales, EBITDA = operating profit, net profit). Peer EV uses Screener debt and cash and excludes NCI, so peer multiples are on Screener's basis; the median multiple is used to limit the effect of outliers. Ambuja consolidates ACC, so the two overlap. UltraTech CMP is Rs 10,675 and shares are 29.47 crore.</t>
  </si>
  <si>
    <t>Some important calculation terms</t>
  </si>
  <si>
    <t>7.30%, 10-year Government of India bond yield.</t>
  </si>
  <si>
    <t>11.16%, calculated on the Market Return sheet from Nifty 50 prices.</t>
  </si>
  <si>
    <t>3.86%, calculated as market return minus risk-free rate.</t>
  </si>
  <si>
    <t xml:space="preserve">BSE: 532538  |  NSE: ULTRACEMCO   |  ISIN: INE481G01011 |  Currency: All Figures in ₹ Crores unless stated </t>
  </si>
  <si>
    <t>Sheet</t>
  </si>
  <si>
    <t>Content</t>
  </si>
  <si>
    <t>Summary</t>
  </si>
  <si>
    <t>Investment Summary - Output from different valuation methods</t>
  </si>
  <si>
    <t>Written Assumptions and interpretation behind every forecast driver</t>
  </si>
  <si>
    <t>Data Sheet</t>
  </si>
  <si>
    <t xml:space="preserve">Audited Statement of P/L, B/S, and CFS, FY2022-FY2026 </t>
  </si>
  <si>
    <t>Model</t>
  </si>
  <si>
    <t>&amp; forecast FCFF, DCF valuation, sensitivity analysis, and Comps analysis</t>
  </si>
  <si>
    <t>Comps Data</t>
  </si>
  <si>
    <t>All the input of Trading comparables</t>
  </si>
  <si>
    <t>Profitability ratios, Dupont/earning power, Liquidity, solvency, Activity ratios</t>
  </si>
  <si>
    <t>Market Return</t>
  </si>
  <si>
    <t>Daily Nifty 50 index closing prices used to derive the equity market return for CAPM</t>
  </si>
  <si>
    <t>Beta &amp; WACC</t>
  </si>
  <si>
    <t>Beta from Regression</t>
  </si>
  <si>
    <t>UltraTech Cement Ltd - Investment Summary</t>
  </si>
  <si>
    <t>Monthly regression of Ultratech Cement stock returns vs Nifty 50 (5-year raw beta)</t>
  </si>
  <si>
    <t>Cost of capital build-up: Regression beta unlevering/relevering, cost of debt, cost of equity (CAPM), WACC</t>
  </si>
  <si>
    <t xml:space="preserve">10-year forecast (FY27E-FY36E): 3-statement model, working capital, historical </t>
  </si>
</sst>
</file>

<file path=xl/styles.xml><?xml version="1.0" encoding="utf-8"?>
<styleSheet xmlns="http://schemas.openxmlformats.org/spreadsheetml/2006/main" xmlns:mc="http://schemas.openxmlformats.org/markup-compatibility/2006" xmlns:x14ac="http://schemas.microsoft.com/office/spreadsheetml/2009/9/ac" mc:Ignorable="x14ac">
  <numFmts count="12">
    <numFmt numFmtId="164" formatCode="#,##0.0;\(#,##0.0\)"/>
    <numFmt numFmtId="165" formatCode="0\ \A"/>
    <numFmt numFmtId="166" formatCode="0\ \F"/>
    <numFmt numFmtId="167" formatCode="0\ &quot;Days&quot;"/>
    <numFmt numFmtId="168" formatCode="&quot;    &quot;0.0"/>
    <numFmt numFmtId="169" formatCode="0.00%;\(0.00%\)"/>
    <numFmt numFmtId="170" formatCode="0.0\x"/>
    <numFmt numFmtId="171" formatCode="0\ \P"/>
    <numFmt numFmtId="172" formatCode="0.0"/>
    <numFmt numFmtId="173" formatCode="0.00%;\(0.00\)"/>
    <numFmt numFmtId="174" formatCode="0.00\x"/>
    <numFmt numFmtId="175" formatCode="#,##0.00;\(#,##0.00\)"/>
  </numFmts>
  <fonts count="33">
    <font>
      <sz val="11"/>
      <color theme="1"/>
      <name val="Calibri"/>
      <family val="2"/>
    </font>
    <font>
      <b/>
      <sz val="24"/>
      <color theme="0"/>
      <name val="Calibri"/>
      <family val="2"/>
      <charset val="204"/>
    </font>
    <font>
      <b/>
      <sz val="11"/>
      <color theme="0"/>
      <name val="Calibri"/>
      <family val="2"/>
      <charset val="204"/>
    </font>
    <font>
      <sz val="11"/>
      <color theme="1"/>
      <name val="Calibri"/>
      <family val="2"/>
      <scheme val="minor"/>
    </font>
    <font>
      <i/>
      <sz val="10"/>
      <color rgb="FF666666"/>
      <name val="Calibri (Body)"/>
    </font>
    <font>
      <b/>
      <sz val="11"/>
      <color theme="1"/>
      <name val="Calibri"/>
      <family val="2"/>
      <charset val="204"/>
    </font>
    <font>
      <sz val="11"/>
      <color rgb="FF3333FF"/>
      <name val="Calibri"/>
      <family val="2"/>
    </font>
    <font>
      <b/>
      <sz val="11"/>
      <color rgb="FF3333FF"/>
      <name val="Calibri"/>
      <family val="2"/>
    </font>
    <font>
      <b/>
      <sz val="14"/>
      <color theme="0"/>
      <name val="Calibri"/>
      <family val="2"/>
      <charset val="204"/>
    </font>
    <font>
      <b/>
      <sz val="16"/>
      <color theme="0"/>
      <name val="Calibri"/>
      <family val="2"/>
      <charset val="204"/>
    </font>
    <font>
      <sz val="11"/>
      <color theme="0"/>
      <name val="Calibri"/>
      <family val="2"/>
      <charset val="204"/>
    </font>
    <font>
      <sz val="11"/>
      <color theme="1"/>
      <name val="Calibri"/>
      <family val="2"/>
      <charset val="204"/>
    </font>
    <font>
      <sz val="11"/>
      <color rgb="FF00B050"/>
      <name val="Calibri"/>
      <family val="2"/>
    </font>
    <font>
      <sz val="11"/>
      <color rgb="FF3333FF"/>
      <name val="Calibri"/>
      <family val="2"/>
      <charset val="204"/>
    </font>
    <font>
      <sz val="11"/>
      <color theme="1"/>
      <name val="Calibri"/>
      <family val="2"/>
    </font>
    <font>
      <i/>
      <sz val="11"/>
      <color indexed="63"/>
      <name val="Calibri"/>
      <family val="2"/>
      <charset val="204"/>
    </font>
    <font>
      <b/>
      <sz val="12"/>
      <color indexed="9"/>
      <name val="Calibri"/>
      <family val="2"/>
      <charset val="204"/>
    </font>
    <font>
      <sz val="11"/>
      <name val="Calibri"/>
      <family val="2"/>
      <charset val="204"/>
    </font>
    <font>
      <b/>
      <sz val="11"/>
      <name val="Calibri"/>
      <family val="2"/>
      <charset val="204"/>
    </font>
    <font>
      <sz val="11"/>
      <color theme="0"/>
      <name val="Calibri"/>
      <family val="2"/>
    </font>
    <font>
      <b/>
      <sz val="11"/>
      <color rgb="FF00B050"/>
      <name val="Calibri"/>
      <family val="2"/>
      <charset val="204"/>
    </font>
    <font>
      <sz val="11"/>
      <color rgb="FF22222F"/>
      <name val="Arial"/>
      <family val="2"/>
      <charset val="204"/>
    </font>
    <font>
      <u/>
      <sz val="11"/>
      <color theme="10"/>
      <name val="Calibri"/>
      <family val="2"/>
    </font>
    <font>
      <sz val="11"/>
      <color indexed="8"/>
      <name val="Calibri"/>
      <family val="2"/>
      <charset val="204"/>
    </font>
    <font>
      <i/>
      <sz val="11"/>
      <color theme="1"/>
      <name val="Calibri"/>
      <family val="2"/>
    </font>
    <font>
      <b/>
      <sz val="20"/>
      <color theme="0"/>
      <name val="Calibri"/>
      <family val="2"/>
      <charset val="204"/>
    </font>
    <font>
      <b/>
      <sz val="12"/>
      <color theme="0"/>
      <name val="Calibri"/>
      <family val="2"/>
      <charset val="204"/>
    </font>
    <font>
      <sz val="11"/>
      <name val="Calibri"/>
      <family val="2"/>
    </font>
    <font>
      <i/>
      <sz val="10"/>
      <color rgb="FF555555"/>
      <name val="Calibri"/>
      <family val="2"/>
    </font>
    <font>
      <b/>
      <sz val="14"/>
      <name val="Calibri"/>
      <family val="2"/>
      <charset val="204"/>
    </font>
    <font>
      <b/>
      <sz val="12"/>
      <name val="Calibri"/>
      <family val="2"/>
      <charset val="204"/>
    </font>
    <font>
      <sz val="11"/>
      <color indexed="12"/>
      <name val="Calibri"/>
      <family val="2"/>
      <charset val="204"/>
    </font>
    <font>
      <sz val="10"/>
      <color rgb="FF777777"/>
      <name val="Calibri"/>
      <family val="2"/>
    </font>
  </fonts>
  <fills count="8">
    <fill>
      <patternFill patternType="none"/>
    </fill>
    <fill>
      <patternFill patternType="gray125"/>
    </fill>
    <fill>
      <patternFill patternType="solid">
        <fgColor rgb="FF00206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rgb="FF92D050"/>
        <bgColor indexed="64"/>
      </patternFill>
    </fill>
  </fills>
  <borders count="28">
    <border>
      <left/>
      <right/>
      <top/>
      <bottom/>
      <diagonal/>
    </border>
    <border>
      <left/>
      <right/>
      <top style="thin">
        <color auto="1"/>
      </top>
      <bottom/>
      <diagonal/>
    </border>
    <border>
      <left/>
      <right/>
      <top style="thin">
        <color auto="1"/>
      </top>
      <bottom style="thin">
        <color auto="1"/>
      </bottom>
      <diagonal/>
    </border>
    <border>
      <left/>
      <right/>
      <top style="thin">
        <color auto="1"/>
      </top>
      <bottom style="medium">
        <color auto="1"/>
      </bottom>
      <diagonal/>
    </border>
    <border>
      <left/>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bottom style="medium">
        <color auto="1"/>
      </bottom>
      <diagonal/>
    </border>
    <border>
      <left/>
      <right/>
      <top/>
      <bottom style="medium">
        <color theme="9" tint="0.39994506668294322"/>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auto="1"/>
      </left>
      <right/>
      <top style="thin">
        <color auto="1"/>
      </top>
      <bottom style="thin">
        <color auto="1"/>
      </bottom>
      <diagonal/>
    </border>
    <border>
      <left/>
      <right/>
      <top style="medium">
        <color indexed="64"/>
      </top>
      <bottom style="thin">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diagonal/>
    </border>
    <border>
      <left/>
      <right style="medium">
        <color rgb="FFFFFF00"/>
      </right>
      <top/>
      <bottom style="thin">
        <color auto="1"/>
      </bottom>
      <diagonal/>
    </border>
    <border>
      <left style="medium">
        <color rgb="FFFFFF00"/>
      </left>
      <right style="medium">
        <color rgb="FFFFFF00"/>
      </right>
      <top/>
      <bottom style="thin">
        <color auto="1"/>
      </bottom>
      <diagonal/>
    </border>
    <border>
      <left style="medium">
        <color rgb="FFFFFF00"/>
      </left>
      <right/>
      <top/>
      <bottom style="thin">
        <color auto="1"/>
      </bottom>
      <diagonal/>
    </border>
    <border>
      <left style="medium">
        <color rgb="FFFFFF00"/>
      </left>
      <right/>
      <top/>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5">
    <xf numFmtId="0" fontId="0" fillId="0" borderId="0"/>
    <xf numFmtId="0" fontId="3" fillId="0" borderId="0"/>
    <xf numFmtId="9" fontId="3" fillId="0" borderId="0" applyFont="0" applyFill="0" applyBorder="0" applyAlignment="0" applyProtection="0"/>
    <xf numFmtId="9" fontId="14" fillId="0" borderId="0" applyFont="0" applyFill="0" applyBorder="0" applyAlignment="0" applyProtection="0"/>
    <xf numFmtId="0" fontId="22" fillId="0" borderId="0" applyNumberFormat="0" applyFill="0" applyBorder="0" applyAlignment="0" applyProtection="0"/>
  </cellStyleXfs>
  <cellXfs count="323">
    <xf numFmtId="0" fontId="0" fillId="0" borderId="0" xfId="0"/>
    <xf numFmtId="0" fontId="1" fillId="2" borderId="0" xfId="0" applyFont="1" applyFill="1"/>
    <xf numFmtId="0" fontId="2" fillId="2" borderId="0" xfId="0" applyFont="1" applyFill="1"/>
    <xf numFmtId="0" fontId="0" fillId="0" borderId="0" xfId="0"/>
    <xf numFmtId="0" fontId="2" fillId="2" borderId="0" xfId="0" applyFont="1" applyFill="1"/>
    <xf numFmtId="4" fontId="0" fillId="0" borderId="0" xfId="0" applyNumberFormat="1"/>
    <xf numFmtId="0" fontId="5" fillId="0" borderId="0" xfId="0" applyFont="1"/>
    <xf numFmtId="0" fontId="5" fillId="0" borderId="0" xfId="0" applyFont="1" applyBorder="1"/>
    <xf numFmtId="0" fontId="5" fillId="0" borderId="1" xfId="0" applyFont="1" applyBorder="1"/>
    <xf numFmtId="0" fontId="5" fillId="0" borderId="2" xfId="0" applyFont="1" applyBorder="1"/>
    <xf numFmtId="0" fontId="4" fillId="0" borderId="0" xfId="1" applyFont="1"/>
    <xf numFmtId="0" fontId="5" fillId="0" borderId="3" xfId="0" applyFont="1" applyBorder="1"/>
    <xf numFmtId="164" fontId="5" fillId="0" borderId="1" xfId="0" applyNumberFormat="1" applyFont="1" applyBorder="1"/>
    <xf numFmtId="164" fontId="6" fillId="0" borderId="0" xfId="0" applyNumberFormat="1" applyFont="1"/>
    <xf numFmtId="164" fontId="5" fillId="0" borderId="0" xfId="0" applyNumberFormat="1" applyFont="1"/>
    <xf numFmtId="164" fontId="0" fillId="0" borderId="0" xfId="0" applyNumberFormat="1"/>
    <xf numFmtId="164" fontId="5" fillId="0" borderId="3" xfId="0" applyNumberFormat="1" applyFont="1" applyBorder="1"/>
    <xf numFmtId="0" fontId="0" fillId="0" borderId="4" xfId="0" applyBorder="1"/>
    <xf numFmtId="0" fontId="0" fillId="0" borderId="0" xfId="0" applyBorder="1"/>
    <xf numFmtId="0" fontId="0" fillId="0" borderId="7" xfId="0" applyBorder="1"/>
    <xf numFmtId="0" fontId="0" fillId="0" borderId="5" xfId="0" applyBorder="1"/>
    <xf numFmtId="164" fontId="5" fillId="0" borderId="2" xfId="0" applyNumberFormat="1" applyFont="1" applyBorder="1"/>
    <xf numFmtId="164" fontId="6" fillId="0" borderId="0" xfId="0" applyNumberFormat="1" applyFont="1" applyBorder="1"/>
    <xf numFmtId="4" fontId="5" fillId="0" borderId="0" xfId="0" applyNumberFormat="1" applyFont="1" applyBorder="1"/>
    <xf numFmtId="164" fontId="0" fillId="0" borderId="0" xfId="0" applyNumberFormat="1" applyBorder="1"/>
    <xf numFmtId="164" fontId="5" fillId="0" borderId="0" xfId="0" applyNumberFormat="1" applyFont="1" applyBorder="1"/>
    <xf numFmtId="164" fontId="5" fillId="0" borderId="4" xfId="0" applyNumberFormat="1" applyFont="1" applyBorder="1"/>
    <xf numFmtId="164" fontId="6" fillId="0" borderId="4" xfId="0" applyNumberFormat="1" applyFont="1" applyBorder="1"/>
    <xf numFmtId="164" fontId="6" fillId="0" borderId="1" xfId="0" applyNumberFormat="1" applyFont="1" applyBorder="1"/>
    <xf numFmtId="164" fontId="6" fillId="0" borderId="6" xfId="0" applyNumberFormat="1" applyFont="1" applyBorder="1"/>
    <xf numFmtId="164" fontId="6" fillId="0" borderId="8" xfId="0" applyNumberFormat="1" applyFont="1" applyBorder="1"/>
    <xf numFmtId="164" fontId="7" fillId="0" borderId="0" xfId="0" applyNumberFormat="1" applyFont="1" applyBorder="1"/>
    <xf numFmtId="0" fontId="9" fillId="2" borderId="0" xfId="0" applyFont="1" applyFill="1"/>
    <xf numFmtId="0" fontId="0" fillId="0" borderId="0" xfId="0"/>
    <xf numFmtId="0" fontId="8" fillId="2" borderId="0" xfId="0" applyFont="1" applyFill="1"/>
    <xf numFmtId="0" fontId="5" fillId="0" borderId="1" xfId="0" applyFont="1" applyBorder="1"/>
    <xf numFmtId="0" fontId="4" fillId="0" borderId="0" xfId="1" applyFont="1"/>
    <xf numFmtId="0" fontId="5" fillId="0" borderId="3" xfId="0" applyFont="1" applyBorder="1"/>
    <xf numFmtId="0" fontId="10" fillId="2" borderId="0" xfId="0" applyFont="1" applyFill="1"/>
    <xf numFmtId="164" fontId="5" fillId="0" borderId="2" xfId="0" applyNumberFormat="1" applyFont="1" applyBorder="1"/>
    <xf numFmtId="0" fontId="10" fillId="2" borderId="0" xfId="0" applyNumberFormat="1" applyFont="1" applyFill="1"/>
    <xf numFmtId="4" fontId="0" fillId="0" borderId="0" xfId="0" applyNumberFormat="1" applyFill="1"/>
    <xf numFmtId="0" fontId="0" fillId="0" borderId="0" xfId="0"/>
    <xf numFmtId="0" fontId="8" fillId="2" borderId="0" xfId="0" applyFont="1" applyFill="1"/>
    <xf numFmtId="0" fontId="11" fillId="0" borderId="0" xfId="0" applyFont="1"/>
    <xf numFmtId="0" fontId="0" fillId="0" borderId="0" xfId="0" applyFont="1"/>
    <xf numFmtId="0" fontId="10" fillId="2" borderId="0" xfId="0" applyFont="1" applyFill="1"/>
    <xf numFmtId="0" fontId="0" fillId="0" borderId="0" xfId="0" applyFont="1" applyFill="1" applyBorder="1"/>
    <xf numFmtId="0" fontId="0" fillId="0" borderId="0" xfId="0" applyFont="1" applyBorder="1"/>
    <xf numFmtId="168" fontId="0" fillId="0" borderId="0" xfId="0" applyNumberFormat="1" applyFont="1" applyFill="1" applyBorder="1"/>
    <xf numFmtId="0" fontId="0" fillId="0" borderId="0" xfId="0"/>
    <xf numFmtId="0" fontId="8" fillId="2" borderId="0" xfId="0" applyFont="1" applyFill="1"/>
    <xf numFmtId="4" fontId="0" fillId="0" borderId="0" xfId="0" applyNumberFormat="1"/>
    <xf numFmtId="0" fontId="5" fillId="0" borderId="0" xfId="0" applyFont="1"/>
    <xf numFmtId="0" fontId="5" fillId="0" borderId="1" xfId="0" applyFont="1" applyBorder="1"/>
    <xf numFmtId="0" fontId="5" fillId="0" borderId="3" xfId="0" applyFont="1" applyBorder="1"/>
    <xf numFmtId="0" fontId="11" fillId="0" borderId="0" xfId="0" applyFont="1"/>
    <xf numFmtId="0" fontId="0" fillId="0" borderId="0" xfId="0" applyFont="1"/>
    <xf numFmtId="0" fontId="10" fillId="2" borderId="0" xfId="0" applyFont="1" applyFill="1"/>
    <xf numFmtId="164" fontId="0" fillId="0" borderId="0" xfId="0" applyNumberFormat="1" applyFont="1"/>
    <xf numFmtId="0" fontId="0" fillId="0" borderId="0" xfId="0"/>
    <xf numFmtId="0" fontId="8" fillId="2" borderId="0" xfId="0" applyFont="1" applyFill="1"/>
    <xf numFmtId="0" fontId="2" fillId="2" borderId="0" xfId="0" applyFont="1" applyFill="1"/>
    <xf numFmtId="4" fontId="0" fillId="0" borderId="0" xfId="0" applyNumberFormat="1"/>
    <xf numFmtId="0" fontId="5" fillId="0" borderId="0" xfId="0" applyFont="1"/>
    <xf numFmtId="0" fontId="5" fillId="0" borderId="0" xfId="0" applyFont="1" applyBorder="1"/>
    <xf numFmtId="0" fontId="5" fillId="0" borderId="1" xfId="0" applyFont="1" applyBorder="1"/>
    <xf numFmtId="0" fontId="5" fillId="0" borderId="3" xfId="0" applyFont="1" applyBorder="1"/>
    <xf numFmtId="165" fontId="2" fillId="2" borderId="0" xfId="0" applyNumberFormat="1" applyFont="1" applyFill="1" applyAlignment="1">
      <alignment horizontal="center"/>
    </xf>
    <xf numFmtId="166" fontId="2" fillId="2" borderId="0" xfId="0" applyNumberFormat="1" applyFont="1" applyFill="1" applyAlignment="1">
      <alignment horizontal="center"/>
    </xf>
    <xf numFmtId="164" fontId="12" fillId="0" borderId="0" xfId="0" applyNumberFormat="1" applyFont="1"/>
    <xf numFmtId="164" fontId="5" fillId="0" borderId="1" xfId="0" applyNumberFormat="1" applyFont="1" applyBorder="1"/>
    <xf numFmtId="0" fontId="11" fillId="0" borderId="0" xfId="0" applyFont="1"/>
    <xf numFmtId="0" fontId="10" fillId="2" borderId="0" xfId="0" applyFont="1" applyFill="1"/>
    <xf numFmtId="164" fontId="0" fillId="0" borderId="0" xfId="0" applyNumberFormat="1"/>
    <xf numFmtId="164" fontId="5" fillId="0" borderId="3" xfId="0" applyNumberFormat="1" applyFont="1" applyBorder="1"/>
    <xf numFmtId="0" fontId="0" fillId="0" borderId="0" xfId="0" applyAlignment="1">
      <alignment horizontal="center"/>
    </xf>
    <xf numFmtId="0" fontId="11" fillId="0" borderId="4" xfId="0" applyFont="1" applyBorder="1"/>
    <xf numFmtId="169" fontId="0" fillId="0" borderId="0" xfId="0" applyNumberFormat="1" applyAlignment="1">
      <alignment horizontal="center"/>
    </xf>
    <xf numFmtId="164" fontId="13" fillId="0" borderId="0" xfId="0" applyNumberFormat="1" applyFont="1" applyBorder="1"/>
    <xf numFmtId="164" fontId="13" fillId="0" borderId="0" xfId="0" applyNumberFormat="1" applyFont="1"/>
    <xf numFmtId="0" fontId="5" fillId="0" borderId="0" xfId="0" applyFont="1" applyFill="1" applyBorder="1"/>
    <xf numFmtId="4" fontId="5" fillId="0" borderId="0" xfId="0" applyNumberFormat="1" applyFont="1"/>
    <xf numFmtId="170" fontId="5" fillId="0" borderId="0" xfId="0" applyNumberFormat="1" applyFont="1"/>
    <xf numFmtId="165" fontId="2" fillId="2" borderId="0" xfId="0" applyNumberFormat="1" applyFont="1" applyFill="1"/>
    <xf numFmtId="0" fontId="15" fillId="0" borderId="0" xfId="0" applyNumberFormat="1" applyFont="1" applyFill="1" applyBorder="1" applyAlignment="1" applyProtection="1"/>
    <xf numFmtId="0" fontId="16" fillId="2" borderId="0" xfId="0" applyNumberFormat="1" applyFont="1" applyFill="1" applyBorder="1" applyAlignment="1" applyProtection="1"/>
    <xf numFmtId="0" fontId="17" fillId="0" borderId="0" xfId="0" applyNumberFormat="1" applyFont="1" applyFill="1" applyBorder="1" applyAlignment="1" applyProtection="1"/>
    <xf numFmtId="171" fontId="2" fillId="2" borderId="0" xfId="0" applyNumberFormat="1" applyFont="1" applyFill="1"/>
    <xf numFmtId="0" fontId="6" fillId="0" borderId="0" xfId="0" applyFont="1"/>
    <xf numFmtId="10" fontId="0" fillId="0" borderId="0" xfId="3" applyNumberFormat="1" applyFont="1"/>
    <xf numFmtId="172" fontId="0" fillId="0" borderId="0" xfId="0" applyNumberFormat="1"/>
    <xf numFmtId="0" fontId="18" fillId="0" borderId="0" xfId="0" applyNumberFormat="1" applyFont="1" applyFill="1" applyBorder="1" applyAlignment="1" applyProtection="1"/>
    <xf numFmtId="9" fontId="6" fillId="0" borderId="0" xfId="0" applyNumberFormat="1" applyFont="1"/>
    <xf numFmtId="172" fontId="6" fillId="0" borderId="0" xfId="0" applyNumberFormat="1" applyFont="1"/>
    <xf numFmtId="10" fontId="0" fillId="0" borderId="0" xfId="3" applyNumberFormat="1" applyFont="1" applyAlignment="1">
      <alignment horizontal="center"/>
    </xf>
    <xf numFmtId="0" fontId="0" fillId="0" borderId="0" xfId="0" applyFill="1"/>
    <xf numFmtId="0" fontId="0" fillId="3" borderId="0" xfId="0" applyFill="1" applyAlignment="1">
      <alignment horizontal="center"/>
    </xf>
    <xf numFmtId="0" fontId="19" fillId="2" borderId="0" xfId="0" applyFont="1" applyFill="1"/>
    <xf numFmtId="10" fontId="0" fillId="0" borderId="0" xfId="0" applyNumberFormat="1"/>
    <xf numFmtId="10" fontId="6" fillId="0" borderId="0" xfId="0" applyNumberFormat="1" applyFont="1"/>
    <xf numFmtId="169" fontId="6" fillId="0" borderId="0" xfId="0" applyNumberFormat="1" applyFont="1"/>
    <xf numFmtId="0" fontId="20" fillId="0" borderId="0" xfId="0" applyFont="1"/>
    <xf numFmtId="10" fontId="0" fillId="0" borderId="0" xfId="3" applyNumberFormat="1" applyFont="1" applyFill="1"/>
    <xf numFmtId="169" fontId="0" fillId="0" borderId="0" xfId="0" applyNumberFormat="1" applyAlignment="1"/>
    <xf numFmtId="167" fontId="0" fillId="0" borderId="0" xfId="0" applyNumberFormat="1" applyAlignment="1"/>
    <xf numFmtId="170" fontId="0" fillId="0" borderId="0" xfId="0" applyNumberFormat="1" applyAlignment="1"/>
    <xf numFmtId="10" fontId="0" fillId="0" borderId="0" xfId="3" applyNumberFormat="1" applyFont="1" applyAlignment="1"/>
    <xf numFmtId="0" fontId="0" fillId="0" borderId="0" xfId="0"/>
    <xf numFmtId="0" fontId="0" fillId="2" borderId="0" xfId="0" applyFill="1"/>
    <xf numFmtId="0" fontId="19" fillId="2" borderId="0" xfId="0" applyFont="1" applyFill="1"/>
    <xf numFmtId="0" fontId="2" fillId="2" borderId="0" xfId="0" applyFont="1" applyFill="1"/>
    <xf numFmtId="0" fontId="5" fillId="0" borderId="0" xfId="0" applyFont="1"/>
    <xf numFmtId="0" fontId="10" fillId="2" borderId="0" xfId="0" applyFont="1" applyFill="1"/>
    <xf numFmtId="0" fontId="0" fillId="0" borderId="0" xfId="0" applyFill="1"/>
    <xf numFmtId="0" fontId="0" fillId="0" borderId="0" xfId="0" applyAlignment="1">
      <alignment horizontal="center"/>
    </xf>
    <xf numFmtId="0" fontId="22" fillId="0" borderId="0" xfId="4" applyFill="1" applyAlignment="1">
      <alignment horizontal="left" vertical="center"/>
    </xf>
    <xf numFmtId="164" fontId="0" fillId="0" borderId="0" xfId="0" applyNumberFormat="1" applyAlignment="1">
      <alignment horizontal="center"/>
    </xf>
    <xf numFmtId="0" fontId="19" fillId="2" borderId="12" xfId="0" applyFont="1" applyFill="1" applyBorder="1"/>
    <xf numFmtId="0" fontId="19" fillId="2" borderId="0" xfId="0" applyFont="1" applyFill="1" applyAlignment="1">
      <alignment horizontal="center"/>
    </xf>
    <xf numFmtId="0" fontId="10" fillId="2" borderId="0" xfId="0" applyFont="1" applyFill="1" applyAlignment="1">
      <alignment horizontal="center"/>
    </xf>
    <xf numFmtId="0" fontId="0" fillId="0" borderId="0" xfId="0" applyFill="1" applyBorder="1"/>
    <xf numFmtId="0" fontId="21" fillId="0" borderId="10" xfId="0" applyFont="1" applyFill="1" applyBorder="1" applyAlignment="1">
      <alignment horizontal="left" vertical="center" indent="1"/>
    </xf>
    <xf numFmtId="0" fontId="0" fillId="0" borderId="9" xfId="0" applyFill="1" applyBorder="1"/>
    <xf numFmtId="0" fontId="21" fillId="0" borderId="9" xfId="0" applyFont="1" applyFill="1" applyBorder="1" applyAlignment="1">
      <alignment horizontal="right" vertical="center" wrapText="1"/>
    </xf>
    <xf numFmtId="0" fontId="21" fillId="0" borderId="16" xfId="0" applyFont="1" applyFill="1" applyBorder="1" applyAlignment="1">
      <alignment horizontal="right" vertical="center" wrapText="1"/>
    </xf>
    <xf numFmtId="0" fontId="21" fillId="0" borderId="6" xfId="0" applyFont="1" applyFill="1" applyBorder="1" applyAlignment="1">
      <alignment horizontal="left" vertical="center" indent="1"/>
    </xf>
    <xf numFmtId="0" fontId="0" fillId="0" borderId="20" xfId="0" applyFill="1" applyBorder="1"/>
    <xf numFmtId="0" fontId="21" fillId="0" borderId="20" xfId="0" applyFont="1" applyFill="1" applyBorder="1" applyAlignment="1">
      <alignment horizontal="right" vertical="center" wrapText="1"/>
    </xf>
    <xf numFmtId="0" fontId="21" fillId="0" borderId="5" xfId="0" applyFont="1" applyFill="1" applyBorder="1" applyAlignment="1">
      <alignment horizontal="right" vertical="center" wrapText="1"/>
    </xf>
    <xf numFmtId="0" fontId="2" fillId="2" borderId="21" xfId="0" applyFont="1" applyFill="1" applyBorder="1"/>
    <xf numFmtId="0" fontId="2" fillId="2" borderId="22" xfId="0" applyFont="1" applyFill="1" applyBorder="1"/>
    <xf numFmtId="0" fontId="2" fillId="2" borderId="23" xfId="0" applyFont="1" applyFill="1" applyBorder="1"/>
    <xf numFmtId="164" fontId="12" fillId="0" borderId="0" xfId="0" applyNumberFormat="1" applyFont="1" applyAlignment="1">
      <alignment horizontal="center"/>
    </xf>
    <xf numFmtId="170" fontId="0" fillId="0" borderId="0" xfId="0" applyNumberFormat="1" applyAlignment="1">
      <alignment horizontal="center"/>
    </xf>
    <xf numFmtId="0" fontId="0" fillId="5" borderId="0" xfId="0" applyFill="1"/>
    <xf numFmtId="0" fontId="5" fillId="5" borderId="0" xfId="0" applyFont="1" applyFill="1"/>
    <xf numFmtId="170" fontId="0" fillId="5" borderId="0" xfId="0" applyNumberFormat="1" applyFill="1" applyAlignment="1">
      <alignment horizontal="center"/>
    </xf>
    <xf numFmtId="164" fontId="20" fillId="5" borderId="0" xfId="0" applyNumberFormat="1" applyFont="1" applyFill="1" applyAlignment="1">
      <alignment horizontal="center"/>
    </xf>
    <xf numFmtId="164" fontId="5" fillId="5" borderId="0" xfId="0" applyNumberFormat="1" applyFont="1" applyFill="1" applyAlignment="1">
      <alignment horizontal="center"/>
    </xf>
    <xf numFmtId="0" fontId="5" fillId="5" borderId="0" xfId="0" applyFont="1" applyFill="1" applyAlignment="1">
      <alignment horizontal="center"/>
    </xf>
    <xf numFmtId="170" fontId="5" fillId="5" borderId="0" xfId="0" applyNumberFormat="1" applyFont="1" applyFill="1" applyAlignment="1">
      <alignment horizontal="center"/>
    </xf>
    <xf numFmtId="0" fontId="0" fillId="0" borderId="0" xfId="0"/>
    <xf numFmtId="0" fontId="19" fillId="2" borderId="0" xfId="0" applyFont="1" applyFill="1"/>
    <xf numFmtId="0" fontId="2" fillId="2" borderId="0" xfId="0" applyFont="1" applyFill="1"/>
    <xf numFmtId="0" fontId="5" fillId="0" borderId="0" xfId="0" applyFont="1"/>
    <xf numFmtId="0" fontId="9" fillId="2" borderId="0" xfId="0" applyFont="1" applyFill="1"/>
    <xf numFmtId="164" fontId="12" fillId="0" borderId="0" xfId="0" applyNumberFormat="1" applyFont="1"/>
    <xf numFmtId="10" fontId="0" fillId="0" borderId="0" xfId="3" applyNumberFormat="1" applyFont="1"/>
    <xf numFmtId="0" fontId="5" fillId="0" borderId="4" xfId="0" applyFont="1" applyBorder="1"/>
    <xf numFmtId="0" fontId="0" fillId="4" borderId="0" xfId="0" applyFill="1"/>
    <xf numFmtId="164" fontId="0" fillId="0" borderId="0" xfId="0" applyNumberFormat="1" applyAlignment="1">
      <alignment horizontal="center"/>
    </xf>
    <xf numFmtId="0" fontId="2" fillId="2" borderId="0" xfId="0" applyFont="1" applyFill="1" applyAlignment="1">
      <alignment horizontal="center"/>
    </xf>
    <xf numFmtId="10" fontId="0" fillId="0" borderId="0" xfId="0" applyNumberFormat="1"/>
    <xf numFmtId="2" fontId="0" fillId="0" borderId="0" xfId="0" applyNumberFormat="1"/>
    <xf numFmtId="10" fontId="12" fillId="0" borderId="0" xfId="0" applyNumberFormat="1" applyFont="1"/>
    <xf numFmtId="14" fontId="23" fillId="0" borderId="0" xfId="0" applyNumberFormat="1" applyFont="1" applyFill="1" applyBorder="1" applyAlignment="1" applyProtection="1">
      <alignment horizontal="center" vertical="center"/>
    </xf>
    <xf numFmtId="4" fontId="23" fillId="0" borderId="0" xfId="0" applyNumberFormat="1" applyFont="1" applyFill="1" applyBorder="1" applyAlignment="1" applyProtection="1">
      <alignment horizontal="center" vertical="center"/>
    </xf>
    <xf numFmtId="0" fontId="5" fillId="0" borderId="9" xfId="0" applyFont="1" applyBorder="1" applyAlignment="1">
      <alignment horizontal="center"/>
    </xf>
    <xf numFmtId="0" fontId="0" fillId="0" borderId="9" xfId="0" applyBorder="1" applyAlignment="1">
      <alignment horizontal="center"/>
    </xf>
    <xf numFmtId="172" fontId="0" fillId="0" borderId="9" xfId="0" applyNumberFormat="1" applyBorder="1" applyAlignment="1">
      <alignment horizontal="center"/>
    </xf>
    <xf numFmtId="10" fontId="0" fillId="0" borderId="9" xfId="3" applyNumberFormat="1" applyFont="1" applyBorder="1" applyAlignment="1">
      <alignment horizontal="center"/>
    </xf>
    <xf numFmtId="0" fontId="5" fillId="0" borderId="0" xfId="0" applyFont="1" applyBorder="1" applyAlignment="1">
      <alignment horizontal="center"/>
    </xf>
    <xf numFmtId="0" fontId="0" fillId="0" borderId="0" xfId="0" applyBorder="1" applyAlignment="1">
      <alignment horizontal="center"/>
    </xf>
    <xf numFmtId="0" fontId="5" fillId="0" borderId="0" xfId="0" applyFont="1" applyAlignment="1"/>
    <xf numFmtId="0" fontId="5" fillId="0" borderId="4" xfId="0" applyFont="1" applyBorder="1" applyAlignment="1">
      <alignment vertical="top"/>
    </xf>
    <xf numFmtId="0" fontId="2" fillId="2" borderId="24" xfId="0" applyFont="1" applyFill="1" applyBorder="1"/>
    <xf numFmtId="2" fontId="6" fillId="0" borderId="0" xfId="0" applyNumberFormat="1" applyFont="1"/>
    <xf numFmtId="10" fontId="0" fillId="4" borderId="0" xfId="3" applyNumberFormat="1" applyFont="1" applyFill="1"/>
    <xf numFmtId="2" fontId="0" fillId="4" borderId="0" xfId="3" applyNumberFormat="1" applyFont="1" applyFill="1"/>
    <xf numFmtId="0" fontId="0" fillId="0" borderId="18" xfId="0" applyBorder="1"/>
    <xf numFmtId="0" fontId="0" fillId="0" borderId="0" xfId="0"/>
    <xf numFmtId="0" fontId="2" fillId="2" borderId="0" xfId="0" applyFont="1" applyFill="1"/>
    <xf numFmtId="0" fontId="5" fillId="0" borderId="1" xfId="0" applyFont="1" applyBorder="1"/>
    <xf numFmtId="164" fontId="0" fillId="0" borderId="0" xfId="0" applyNumberFormat="1"/>
    <xf numFmtId="10" fontId="0" fillId="0" borderId="0" xfId="3" applyNumberFormat="1" applyFont="1"/>
    <xf numFmtId="0" fontId="0" fillId="0" borderId="1" xfId="0" applyBorder="1"/>
    <xf numFmtId="0" fontId="5" fillId="4" borderId="0" xfId="0" applyFont="1" applyFill="1"/>
    <xf numFmtId="10" fontId="0" fillId="0" borderId="0" xfId="0" applyNumberFormat="1"/>
    <xf numFmtId="2" fontId="0" fillId="0" borderId="0" xfId="0" applyNumberFormat="1"/>
    <xf numFmtId="10" fontId="6" fillId="0" borderId="0" xfId="0" applyNumberFormat="1" applyFont="1"/>
    <xf numFmtId="10" fontId="12" fillId="0" borderId="0" xfId="0" applyNumberFormat="1" applyFont="1"/>
    <xf numFmtId="10" fontId="5" fillId="0" borderId="1" xfId="3" applyNumberFormat="1" applyFont="1" applyBorder="1"/>
    <xf numFmtId="10" fontId="5" fillId="0" borderId="1" xfId="0" applyNumberFormat="1" applyFont="1" applyBorder="1"/>
    <xf numFmtId="0" fontId="5" fillId="0" borderId="18" xfId="0" applyFont="1" applyBorder="1"/>
    <xf numFmtId="10" fontId="5" fillId="0" borderId="19" xfId="0" applyNumberFormat="1" applyFont="1" applyBorder="1"/>
    <xf numFmtId="0" fontId="0" fillId="0" borderId="0" xfId="0" applyFill="1" applyBorder="1" applyAlignment="1"/>
    <xf numFmtId="0" fontId="0" fillId="0" borderId="11" xfId="0" applyFill="1" applyBorder="1" applyAlignment="1"/>
    <xf numFmtId="0" fontId="24" fillId="0" borderId="17" xfId="0" applyFont="1" applyFill="1" applyBorder="1" applyAlignment="1">
      <alignment horizontal="center"/>
    </xf>
    <xf numFmtId="0" fontId="24" fillId="0" borderId="17" xfId="0" applyFont="1" applyFill="1" applyBorder="1" applyAlignment="1">
      <alignment horizontal="centerContinuous"/>
    </xf>
    <xf numFmtId="0" fontId="0" fillId="0" borderId="14" xfId="0" applyBorder="1" applyAlignment="1">
      <alignment horizontal="center"/>
    </xf>
    <xf numFmtId="0" fontId="0" fillId="0" borderId="15" xfId="0" applyBorder="1" applyAlignment="1">
      <alignment horizontal="center"/>
    </xf>
    <xf numFmtId="0" fontId="25" fillId="2" borderId="0" xfId="0" applyFont="1" applyFill="1"/>
    <xf numFmtId="17" fontId="23" fillId="0" borderId="14" xfId="0" applyNumberFormat="1" applyFont="1" applyFill="1" applyBorder="1" applyAlignment="1" applyProtection="1">
      <alignment horizontal="center" vertical="center"/>
    </xf>
    <xf numFmtId="164" fontId="23" fillId="0" borderId="14" xfId="0" applyNumberFormat="1" applyFont="1" applyFill="1" applyBorder="1" applyAlignment="1" applyProtection="1">
      <alignment horizontal="center" vertical="center"/>
    </xf>
    <xf numFmtId="17" fontId="23" fillId="0" borderId="13" xfId="0" applyNumberFormat="1" applyFont="1" applyFill="1" applyBorder="1" applyAlignment="1" applyProtection="1">
      <alignment horizontal="center" vertical="center"/>
    </xf>
    <xf numFmtId="164" fontId="23" fillId="0" borderId="13" xfId="0" applyNumberFormat="1" applyFont="1" applyFill="1" applyBorder="1" applyAlignment="1" applyProtection="1">
      <alignment horizontal="center" vertical="center"/>
    </xf>
    <xf numFmtId="173" fontId="0" fillId="0" borderId="13" xfId="3" applyNumberFormat="1" applyFont="1" applyBorder="1" applyAlignment="1">
      <alignment horizontal="center"/>
    </xf>
    <xf numFmtId="17" fontId="23" fillId="0" borderId="15" xfId="0" applyNumberFormat="1" applyFont="1" applyFill="1" applyBorder="1" applyAlignment="1" applyProtection="1">
      <alignment horizontal="center" vertical="center"/>
    </xf>
    <xf numFmtId="164" fontId="23" fillId="0" borderId="15" xfId="0" applyNumberFormat="1" applyFont="1" applyFill="1" applyBorder="1" applyAlignment="1" applyProtection="1">
      <alignment horizontal="center" vertical="center"/>
    </xf>
    <xf numFmtId="173" fontId="0" fillId="0" borderId="15" xfId="3" applyNumberFormat="1" applyFont="1" applyBorder="1" applyAlignment="1">
      <alignment horizontal="center"/>
    </xf>
    <xf numFmtId="0" fontId="0" fillId="0" borderId="16" xfId="0" applyFill="1" applyBorder="1" applyAlignment="1">
      <alignment horizontal="center"/>
    </xf>
    <xf numFmtId="2" fontId="0" fillId="0" borderId="10" xfId="0" applyNumberFormat="1" applyBorder="1"/>
    <xf numFmtId="0" fontId="26" fillId="2" borderId="0" xfId="0" applyFont="1" applyFill="1"/>
    <xf numFmtId="2" fontId="11" fillId="0" borderId="0" xfId="3" applyNumberFormat="1" applyFont="1" applyBorder="1"/>
    <xf numFmtId="0" fontId="11" fillId="0" borderId="0" xfId="0" applyFont="1" applyBorder="1"/>
    <xf numFmtId="2" fontId="5" fillId="0" borderId="0" xfId="3" applyNumberFormat="1" applyFont="1" applyBorder="1"/>
    <xf numFmtId="10" fontId="5" fillId="0" borderId="0" xfId="3" applyNumberFormat="1" applyFont="1" applyBorder="1"/>
    <xf numFmtId="0" fontId="0" fillId="0" borderId="0" xfId="0"/>
    <xf numFmtId="0" fontId="5" fillId="0" borderId="0" xfId="0" applyFont="1" applyBorder="1"/>
    <xf numFmtId="0" fontId="5" fillId="0" borderId="4" xfId="0" applyFont="1" applyBorder="1"/>
    <xf numFmtId="164" fontId="27" fillId="0" borderId="0" xfId="0" applyNumberFormat="1" applyFont="1"/>
    <xf numFmtId="0" fontId="0" fillId="0" borderId="0" xfId="0" applyBorder="1"/>
    <xf numFmtId="174" fontId="0" fillId="0" borderId="0" xfId="0" applyNumberFormat="1"/>
    <xf numFmtId="0" fontId="5" fillId="4" borderId="0" xfId="0" applyFont="1" applyFill="1"/>
    <xf numFmtId="10" fontId="12" fillId="0" borderId="0" xfId="0" applyNumberFormat="1" applyFont="1"/>
    <xf numFmtId="14" fontId="6" fillId="0" borderId="1" xfId="0" applyNumberFormat="1" applyFont="1" applyBorder="1"/>
    <xf numFmtId="14" fontId="6" fillId="0" borderId="0" xfId="0" applyNumberFormat="1" applyFont="1"/>
    <xf numFmtId="10" fontId="6" fillId="0" borderId="0" xfId="3" applyNumberFormat="1" applyFont="1"/>
    <xf numFmtId="0" fontId="5" fillId="0" borderId="9" xfId="0" applyFont="1" applyBorder="1"/>
    <xf numFmtId="0" fontId="0" fillId="0" borderId="0" xfId="0"/>
    <xf numFmtId="0" fontId="5" fillId="0" borderId="0" xfId="0" applyFont="1"/>
    <xf numFmtId="0" fontId="5" fillId="0" borderId="1" xfId="0" applyFont="1" applyBorder="1"/>
    <xf numFmtId="164" fontId="5" fillId="0" borderId="1" xfId="0" applyNumberFormat="1" applyFont="1" applyBorder="1"/>
    <xf numFmtId="0" fontId="11" fillId="0" borderId="0" xfId="0" applyFont="1"/>
    <xf numFmtId="164" fontId="0" fillId="0" borderId="0" xfId="0" applyNumberFormat="1"/>
    <xf numFmtId="0" fontId="0" fillId="0" borderId="0" xfId="0" applyAlignment="1">
      <alignment horizontal="right"/>
    </xf>
    <xf numFmtId="0" fontId="6" fillId="0" borderId="0" xfId="0" applyFont="1"/>
    <xf numFmtId="164" fontId="0" fillId="0" borderId="1" xfId="0" applyNumberFormat="1" applyBorder="1"/>
    <xf numFmtId="0" fontId="5" fillId="0" borderId="4" xfId="0" applyFont="1" applyBorder="1"/>
    <xf numFmtId="0" fontId="0" fillId="0" borderId="4" xfId="0" applyBorder="1"/>
    <xf numFmtId="0" fontId="0" fillId="0" borderId="1" xfId="0" applyBorder="1"/>
    <xf numFmtId="14" fontId="0" fillId="0" borderId="1" xfId="0" applyNumberFormat="1" applyBorder="1"/>
    <xf numFmtId="0" fontId="0" fillId="0" borderId="0" xfId="0" applyFill="1" applyBorder="1"/>
    <xf numFmtId="172" fontId="0" fillId="0" borderId="0" xfId="0" applyNumberFormat="1"/>
    <xf numFmtId="0" fontId="0" fillId="0" borderId="0" xfId="0"/>
    <xf numFmtId="0" fontId="2" fillId="2" borderId="0" xfId="0" applyFont="1" applyFill="1"/>
    <xf numFmtId="0" fontId="5" fillId="0" borderId="0" xfId="0" applyFont="1"/>
    <xf numFmtId="0" fontId="5" fillId="0" borderId="1" xfId="0" applyFont="1" applyBorder="1"/>
    <xf numFmtId="0" fontId="11" fillId="0" borderId="0" xfId="0" applyFont="1"/>
    <xf numFmtId="164" fontId="0" fillId="0" borderId="0" xfId="0" applyNumberFormat="1"/>
    <xf numFmtId="10" fontId="0" fillId="0" borderId="0" xfId="3" applyNumberFormat="1" applyFont="1"/>
    <xf numFmtId="0" fontId="0" fillId="0" borderId="1" xfId="0" applyBorder="1"/>
    <xf numFmtId="0" fontId="0" fillId="0" borderId="0" xfId="0" applyBorder="1"/>
    <xf numFmtId="164" fontId="0" fillId="0" borderId="0" xfId="0" applyNumberFormat="1" applyAlignment="1">
      <alignment horizontal="center"/>
    </xf>
    <xf numFmtId="164" fontId="0" fillId="0" borderId="1" xfId="0" applyNumberFormat="1" applyBorder="1" applyAlignment="1">
      <alignment horizontal="center"/>
    </xf>
    <xf numFmtId="164" fontId="0" fillId="0" borderId="0" xfId="0" applyNumberFormat="1" applyBorder="1" applyAlignment="1">
      <alignment horizontal="center"/>
    </xf>
    <xf numFmtId="0" fontId="5" fillId="0" borderId="0" xfId="0" applyFont="1" applyAlignment="1">
      <alignment horizontal="center"/>
    </xf>
    <xf numFmtId="0" fontId="0" fillId="0" borderId="0" xfId="0" applyFill="1" applyBorder="1"/>
    <xf numFmtId="175" fontId="0" fillId="0" borderId="0" xfId="0" applyNumberFormat="1" applyAlignment="1">
      <alignment horizontal="center"/>
    </xf>
    <xf numFmtId="169" fontId="5" fillId="0" borderId="0" xfId="3" applyNumberFormat="1" applyFont="1" applyAlignment="1">
      <alignment horizontal="center"/>
    </xf>
    <xf numFmtId="164" fontId="5" fillId="0" borderId="9" xfId="0" applyNumberFormat="1" applyFont="1" applyBorder="1"/>
    <xf numFmtId="164" fontId="11" fillId="0" borderId="0" xfId="0" applyNumberFormat="1" applyFont="1"/>
    <xf numFmtId="164" fontId="5" fillId="0" borderId="0" xfId="0" applyNumberFormat="1" applyFont="1" applyAlignment="1">
      <alignment horizontal="center"/>
    </xf>
    <xf numFmtId="164" fontId="2" fillId="2" borderId="0" xfId="0" applyNumberFormat="1" applyFont="1" applyFill="1"/>
    <xf numFmtId="10" fontId="6" fillId="7" borderId="0" xfId="3" applyNumberFormat="1" applyFont="1" applyFill="1" applyAlignment="1">
      <alignment horizontal="center"/>
    </xf>
    <xf numFmtId="0" fontId="0" fillId="0" borderId="0" xfId="0"/>
    <xf numFmtId="0" fontId="0" fillId="0" borderId="0" xfId="0" applyAlignment="1">
      <alignment horizontal="right"/>
    </xf>
    <xf numFmtId="0" fontId="0" fillId="0" borderId="11" xfId="0" applyBorder="1"/>
    <xf numFmtId="10" fontId="0" fillId="5" borderId="0" xfId="0" applyNumberFormat="1" applyFill="1"/>
    <xf numFmtId="172" fontId="11" fillId="0" borderId="0" xfId="0" applyNumberFormat="1" applyFont="1"/>
    <xf numFmtId="0" fontId="5" fillId="0" borderId="11" xfId="0" applyFont="1" applyBorder="1"/>
    <xf numFmtId="10" fontId="0" fillId="5" borderId="0" xfId="0" applyNumberFormat="1" applyFill="1" applyAlignment="1">
      <alignment horizontal="center"/>
    </xf>
    <xf numFmtId="174" fontId="0" fillId="5" borderId="0" xfId="0" applyNumberFormat="1" applyFill="1" applyAlignment="1">
      <alignment horizontal="center"/>
    </xf>
    <xf numFmtId="172" fontId="0" fillId="6" borderId="0" xfId="0" applyNumberFormat="1" applyFill="1"/>
    <xf numFmtId="172" fontId="0" fillId="6" borderId="0" xfId="0" applyNumberFormat="1" applyFill="1" applyAlignment="1">
      <alignment horizontal="center"/>
    </xf>
    <xf numFmtId="10" fontId="14" fillId="7" borderId="0" xfId="3" applyNumberFormat="1" applyFont="1" applyFill="1"/>
    <xf numFmtId="174" fontId="0" fillId="7" borderId="0" xfId="0" applyNumberFormat="1" applyFont="1" applyFill="1" applyAlignment="1">
      <alignment horizontal="center"/>
    </xf>
    <xf numFmtId="0" fontId="2" fillId="2" borderId="0" xfId="0" applyFont="1" applyFill="1" applyBorder="1"/>
    <xf numFmtId="0" fontId="1" fillId="2" borderId="0" xfId="0" applyFont="1" applyFill="1" applyBorder="1"/>
    <xf numFmtId="0" fontId="9" fillId="2" borderId="0" xfId="0" applyFont="1" applyFill="1" applyBorder="1"/>
    <xf numFmtId="165" fontId="2" fillId="2" borderId="0" xfId="0" applyNumberFormat="1" applyFont="1" applyFill="1" applyBorder="1" applyAlignment="1">
      <alignment horizontal="center"/>
    </xf>
    <xf numFmtId="166" fontId="2" fillId="2" borderId="0" xfId="0" applyNumberFormat="1" applyFont="1" applyFill="1" applyBorder="1" applyAlignment="1">
      <alignment horizontal="center"/>
    </xf>
    <xf numFmtId="0" fontId="0" fillId="0" borderId="25" xfId="0" applyBorder="1"/>
    <xf numFmtId="0" fontId="0" fillId="0" borderId="25" xfId="0" applyFill="1" applyBorder="1"/>
    <xf numFmtId="0" fontId="0" fillId="0" borderId="7" xfId="0" applyFill="1" applyBorder="1"/>
    <xf numFmtId="169" fontId="0" fillId="0" borderId="20" xfId="0" applyNumberFormat="1" applyFill="1" applyBorder="1" applyAlignment="1">
      <alignment horizontal="center"/>
    </xf>
    <xf numFmtId="169" fontId="0" fillId="0" borderId="26" xfId="0" applyNumberFormat="1" applyFill="1" applyBorder="1" applyAlignment="1">
      <alignment horizontal="center"/>
    </xf>
    <xf numFmtId="169" fontId="0" fillId="0" borderId="27" xfId="0" applyNumberFormat="1" applyFill="1" applyBorder="1" applyAlignment="1">
      <alignment horizontal="center"/>
    </xf>
    <xf numFmtId="0" fontId="0" fillId="0" borderId="0" xfId="0" applyFill="1" applyBorder="1" applyAlignment="1">
      <alignment horizontal="center"/>
    </xf>
    <xf numFmtId="0" fontId="0" fillId="0" borderId="20" xfId="0" applyFill="1" applyBorder="1" applyAlignment="1">
      <alignment horizontal="center"/>
    </xf>
    <xf numFmtId="174" fontId="0" fillId="0" borderId="20" xfId="0" applyNumberFormat="1" applyBorder="1" applyAlignment="1">
      <alignment horizontal="center"/>
    </xf>
    <xf numFmtId="0" fontId="0" fillId="0" borderId="27" xfId="0" applyNumberFormat="1" applyFill="1" applyBorder="1" applyAlignment="1">
      <alignment horizontal="center"/>
    </xf>
    <xf numFmtId="0" fontId="0" fillId="0" borderId="20" xfId="0" applyNumberFormat="1" applyFill="1" applyBorder="1" applyAlignment="1">
      <alignment horizontal="center"/>
    </xf>
    <xf numFmtId="0" fontId="0" fillId="0" borderId="26" xfId="0" applyNumberFormat="1" applyFill="1" applyBorder="1" applyAlignment="1">
      <alignment horizontal="center"/>
    </xf>
    <xf numFmtId="174" fontId="0" fillId="0" borderId="26" xfId="0" applyNumberFormat="1" applyBorder="1" applyAlignment="1">
      <alignment horizontal="center"/>
    </xf>
    <xf numFmtId="167" fontId="0" fillId="0" borderId="27" xfId="0" applyNumberFormat="1" applyFill="1" applyBorder="1" applyAlignment="1">
      <alignment horizontal="center"/>
    </xf>
    <xf numFmtId="167" fontId="0" fillId="0" borderId="27" xfId="0" applyNumberFormat="1" applyBorder="1" applyAlignment="1">
      <alignment horizontal="center"/>
    </xf>
    <xf numFmtId="174" fontId="0" fillId="0" borderId="27" xfId="0" applyNumberFormat="1" applyBorder="1" applyAlignment="1">
      <alignment horizontal="center"/>
    </xf>
    <xf numFmtId="10" fontId="0" fillId="0" borderId="26" xfId="3" applyNumberFormat="1" applyFont="1" applyFill="1" applyBorder="1" applyAlignment="1">
      <alignment horizontal="center"/>
    </xf>
    <xf numFmtId="167" fontId="0" fillId="0" borderId="26" xfId="0" applyNumberFormat="1" applyFill="1" applyBorder="1" applyAlignment="1">
      <alignment horizontal="center"/>
    </xf>
    <xf numFmtId="174" fontId="0" fillId="0" borderId="0" xfId="0" applyNumberFormat="1" applyAlignment="1">
      <alignment horizontal="center"/>
    </xf>
    <xf numFmtId="0" fontId="28" fillId="0" borderId="0" xfId="0" applyFont="1"/>
    <xf numFmtId="0" fontId="0" fillId="0" borderId="14" xfId="0" applyBorder="1"/>
    <xf numFmtId="0" fontId="0" fillId="0" borderId="13" xfId="0" applyBorder="1"/>
    <xf numFmtId="0" fontId="0" fillId="0" borderId="15" xfId="0" applyBorder="1"/>
    <xf numFmtId="164" fontId="12" fillId="0" borderId="14" xfId="0" applyNumberFormat="1" applyFont="1" applyBorder="1" applyAlignment="1">
      <alignment horizontal="center"/>
    </xf>
    <xf numFmtId="164" fontId="0" fillId="0" borderId="14" xfId="0" applyNumberFormat="1" applyBorder="1" applyAlignment="1">
      <alignment horizontal="center"/>
    </xf>
    <xf numFmtId="169" fontId="0" fillId="0" borderId="14" xfId="0" applyNumberFormat="1" applyBorder="1" applyAlignment="1">
      <alignment horizontal="center"/>
    </xf>
    <xf numFmtId="164" fontId="12" fillId="0" borderId="13" xfId="0" applyNumberFormat="1" applyFont="1" applyBorder="1" applyAlignment="1">
      <alignment horizontal="center"/>
    </xf>
    <xf numFmtId="164" fontId="6" fillId="0" borderId="13" xfId="0" applyNumberFormat="1" applyFont="1" applyBorder="1" applyAlignment="1">
      <alignment horizontal="center"/>
    </xf>
    <xf numFmtId="164" fontId="0" fillId="0" borderId="13" xfId="0" applyNumberFormat="1" applyBorder="1" applyAlignment="1">
      <alignment horizontal="center"/>
    </xf>
    <xf numFmtId="169" fontId="0" fillId="0" borderId="13" xfId="0" applyNumberFormat="1" applyBorder="1" applyAlignment="1">
      <alignment horizontal="center"/>
    </xf>
    <xf numFmtId="0" fontId="0" fillId="0" borderId="13" xfId="0" applyBorder="1" applyAlignment="1">
      <alignment horizontal="center"/>
    </xf>
    <xf numFmtId="164" fontId="12" fillId="0" borderId="15" xfId="0" applyNumberFormat="1" applyFont="1" applyBorder="1" applyAlignment="1">
      <alignment horizontal="center"/>
    </xf>
    <xf numFmtId="164" fontId="6" fillId="0" borderId="15" xfId="0" applyNumberFormat="1" applyFont="1" applyBorder="1" applyAlignment="1">
      <alignment horizontal="center"/>
    </xf>
    <xf numFmtId="164" fontId="0" fillId="0" borderId="15" xfId="0" applyNumberFormat="1" applyBorder="1" applyAlignment="1">
      <alignment horizontal="center"/>
    </xf>
    <xf numFmtId="169" fontId="0" fillId="0" borderId="15" xfId="0" applyNumberFormat="1" applyBorder="1" applyAlignment="1">
      <alignment horizontal="center"/>
    </xf>
    <xf numFmtId="0" fontId="23" fillId="0" borderId="0" xfId="0" applyNumberFormat="1" applyFont="1" applyFill="1" applyBorder="1" applyAlignment="1" applyProtection="1"/>
    <xf numFmtId="0" fontId="29" fillId="0" borderId="0" xfId="0" applyNumberFormat="1" applyFont="1" applyFill="1" applyBorder="1" applyAlignment="1" applyProtection="1"/>
    <xf numFmtId="0" fontId="30" fillId="0" borderId="0" xfId="0" applyNumberFormat="1" applyFont="1" applyFill="1" applyBorder="1" applyAlignment="1" applyProtection="1"/>
    <xf numFmtId="0" fontId="31" fillId="0" borderId="0" xfId="0" applyNumberFormat="1" applyFont="1" applyFill="1" applyBorder="1" applyAlignment="1" applyProtection="1"/>
    <xf numFmtId="0" fontId="18" fillId="0" borderId="0" xfId="0" applyNumberFormat="1" applyFont="1" applyFill="1" applyBorder="1" applyAlignment="1" applyProtection="1">
      <alignment vertical="top" wrapText="1"/>
    </xf>
    <xf numFmtId="0" fontId="23" fillId="0" borderId="0" xfId="0" applyNumberFormat="1" applyFont="1" applyFill="1" applyBorder="1" applyAlignment="1" applyProtection="1">
      <alignment vertical="top" wrapText="1"/>
    </xf>
    <xf numFmtId="0" fontId="17" fillId="0" borderId="0" xfId="0" applyNumberFormat="1" applyFont="1" applyFill="1" applyBorder="1" applyAlignment="1" applyProtection="1">
      <alignment vertical="top" wrapText="1"/>
    </xf>
    <xf numFmtId="0" fontId="32" fillId="0" borderId="0" xfId="1" applyFont="1"/>
    <xf numFmtId="0" fontId="8" fillId="2" borderId="0" xfId="0" applyFont="1" applyFill="1" applyAlignment="1">
      <alignment horizontal="center"/>
    </xf>
    <xf numFmtId="0" fontId="22" fillId="0" borderId="9" xfId="4" applyBorder="1"/>
    <xf numFmtId="0" fontId="0" fillId="0" borderId="9" xfId="0" applyBorder="1"/>
    <xf numFmtId="0" fontId="22" fillId="0" borderId="20" xfId="4" applyBorder="1"/>
    <xf numFmtId="0" fontId="0" fillId="0" borderId="20" xfId="0" applyBorder="1"/>
    <xf numFmtId="0" fontId="22" fillId="0" borderId="27" xfId="4" applyBorder="1"/>
    <xf numFmtId="0" fontId="0" fillId="0" borderId="27" xfId="0" applyBorder="1"/>
  </cellXfs>
  <cellStyles count="5">
    <cellStyle name="Hyperlink" xfId="4" builtinId="8"/>
    <cellStyle name="Normal" xfId="0" builtinId="0"/>
    <cellStyle name="Normal 2" xfId="1"/>
    <cellStyle name="Percent" xfId="3" builtinId="5"/>
    <cellStyle name="Percent 2" xfId="2"/>
  </cellStyles>
  <dxfs count="0"/>
  <tableStyles count="0" defaultTableStyle="TableStyleMedium2" defaultPivotStyle="PivotStyleLight16"/>
  <colors>
    <mruColors>
      <color rgb="FF3333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16"/>
  <sheetViews>
    <sheetView showGridLines="0" topLeftCell="A3" workbookViewId="0">
      <selection activeCell="C20" sqref="C20"/>
    </sheetView>
  </sheetViews>
  <sheetFormatPr defaultRowHeight="14.5"/>
  <cols>
    <col min="1" max="1" width="1.81640625" customWidth="1"/>
    <col min="2" max="2" width="40.6328125" customWidth="1"/>
    <col min="3" max="3" width="90.6328125" customWidth="1"/>
  </cols>
  <sheetData>
    <row r="1" spans="2:7">
      <c r="C1" s="315"/>
    </row>
    <row r="2" spans="2:7" ht="26">
      <c r="B2" s="192" t="s">
        <v>0</v>
      </c>
      <c r="C2" s="236"/>
      <c r="D2" s="236"/>
      <c r="E2" s="236"/>
      <c r="F2" s="236"/>
      <c r="G2" s="236"/>
    </row>
    <row r="3" spans="2:7">
      <c r="B3" s="292" t="s">
        <v>514</v>
      </c>
      <c r="C3" s="256"/>
      <c r="D3" s="256"/>
      <c r="E3" s="256"/>
      <c r="F3" s="256"/>
      <c r="G3" s="256"/>
    </row>
    <row r="5" spans="2:7" ht="18.5">
      <c r="B5" s="61" t="s">
        <v>515</v>
      </c>
      <c r="C5" s="316" t="s">
        <v>516</v>
      </c>
    </row>
    <row r="7" spans="2:7">
      <c r="B7" s="317" t="s">
        <v>517</v>
      </c>
      <c r="C7" s="318" t="s">
        <v>518</v>
      </c>
    </row>
    <row r="8" spans="2:7">
      <c r="B8" s="317" t="s">
        <v>380</v>
      </c>
      <c r="C8" s="318" t="s">
        <v>519</v>
      </c>
    </row>
    <row r="9" spans="2:7">
      <c r="B9" s="317" t="s">
        <v>520</v>
      </c>
      <c r="C9" s="318" t="s">
        <v>521</v>
      </c>
    </row>
    <row r="10" spans="2:7">
      <c r="B10" s="319" t="s">
        <v>522</v>
      </c>
      <c r="C10" s="320" t="s">
        <v>534</v>
      </c>
    </row>
    <row r="11" spans="2:7">
      <c r="B11" s="321"/>
      <c r="C11" s="322" t="s">
        <v>523</v>
      </c>
    </row>
    <row r="12" spans="2:7">
      <c r="B12" s="317" t="s">
        <v>524</v>
      </c>
      <c r="C12" s="318" t="s">
        <v>525</v>
      </c>
    </row>
    <row r="13" spans="2:7">
      <c r="B13" s="317" t="s">
        <v>420</v>
      </c>
      <c r="C13" s="318" t="s">
        <v>526</v>
      </c>
    </row>
    <row r="14" spans="2:7">
      <c r="B14" s="317" t="s">
        <v>527</v>
      </c>
      <c r="C14" s="318" t="s">
        <v>528</v>
      </c>
    </row>
    <row r="15" spans="2:7">
      <c r="B15" s="317" t="s">
        <v>529</v>
      </c>
      <c r="C15" s="318" t="s">
        <v>533</v>
      </c>
    </row>
    <row r="16" spans="2:7">
      <c r="B16" s="317" t="s">
        <v>530</v>
      </c>
      <c r="C16" s="318" t="s">
        <v>532</v>
      </c>
    </row>
  </sheetData>
  <hyperlinks>
    <hyperlink ref="B7" location="Summary!A1" display="Summary"/>
    <hyperlink ref="B8" location="'Assumptions '!A1" display="Assumptions"/>
    <hyperlink ref="B9" location="'Data Sheet'!A1" display="Data Sheet"/>
    <hyperlink ref="B10" location="Model!A1" display="Model"/>
    <hyperlink ref="B12" location="'Comps Data'!A1" display="Comps Data"/>
    <hyperlink ref="B13" location="'Ratio Analysis'!A1" display="Ratio Analysis"/>
    <hyperlink ref="B14" location="'Market Return'!A1" display="Market Return"/>
    <hyperlink ref="B16" location="'Beta from Regression'!A1" display="Beta from Regression"/>
    <hyperlink ref="B15" location="'Beta &amp; WACC '!A1" display="Beta &amp; WAC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
  <sheetViews>
    <sheetView showGridLines="0" tabSelected="1" zoomScale="85" zoomScaleNormal="85" workbookViewId="0">
      <selection activeCell="B13" sqref="B13"/>
    </sheetView>
  </sheetViews>
  <sheetFormatPr defaultColWidth="18.6328125" defaultRowHeight="14.5"/>
  <cols>
    <col min="1" max="1" width="1.81640625" customWidth="1"/>
    <col min="2" max="2" width="40.6328125" customWidth="1"/>
    <col min="4" max="4" width="20.453125" bestFit="1" customWidth="1"/>
    <col min="8" max="8" width="20" bestFit="1" customWidth="1"/>
  </cols>
  <sheetData>
    <row r="1" spans="1:9">
      <c r="A1" t="s">
        <v>273</v>
      </c>
    </row>
    <row r="2" spans="1:9" ht="26">
      <c r="B2" s="192" t="s">
        <v>531</v>
      </c>
      <c r="C2" s="236"/>
      <c r="D2" s="236"/>
      <c r="E2" s="236"/>
      <c r="F2" s="236"/>
      <c r="G2" s="236"/>
      <c r="H2" s="236"/>
      <c r="I2" s="236"/>
    </row>
    <row r="3" spans="1:9">
      <c r="B3" s="292" t="s">
        <v>451</v>
      </c>
    </row>
    <row r="5" spans="1:9">
      <c r="B5" s="236"/>
      <c r="C5" s="152"/>
      <c r="D5" s="152" t="s">
        <v>453</v>
      </c>
      <c r="E5" s="152"/>
      <c r="F5" s="152"/>
      <c r="G5" s="152"/>
      <c r="H5" s="152"/>
      <c r="I5" s="152"/>
    </row>
    <row r="6" spans="1:9" ht="15" thickBot="1">
      <c r="B6" s="236" t="s">
        <v>452</v>
      </c>
      <c r="C6" s="152" t="s">
        <v>403</v>
      </c>
      <c r="D6" s="152" t="s">
        <v>454</v>
      </c>
      <c r="E6" s="152" t="s">
        <v>455</v>
      </c>
      <c r="F6" s="152" t="s">
        <v>411</v>
      </c>
      <c r="G6" s="152" t="s">
        <v>456</v>
      </c>
      <c r="H6" s="152" t="s">
        <v>457</v>
      </c>
      <c r="I6" s="152" t="s">
        <v>458</v>
      </c>
    </row>
    <row r="7" spans="1:9">
      <c r="B7" s="293" t="s">
        <v>459</v>
      </c>
      <c r="C7" s="296">
        <f>Model!H235</f>
        <v>169660.28341755286</v>
      </c>
      <c r="D7" s="296">
        <f>Model!H238</f>
        <v>146936.26341755287</v>
      </c>
      <c r="E7" s="296">
        <f>Model!H240</f>
        <v>4985.9607539040671</v>
      </c>
      <c r="F7" s="296">
        <f>'Comps Data'!D3</f>
        <v>10675</v>
      </c>
      <c r="G7" s="297">
        <f>E7-F7</f>
        <v>-5689.0392460959329</v>
      </c>
      <c r="H7" s="298">
        <f>G7/F7</f>
        <v>-0.53293107691765174</v>
      </c>
      <c r="I7" s="190" t="str">
        <f>IF(H7&lt;0,"Overvalued","Undervalued")</f>
        <v>Overvalued</v>
      </c>
    </row>
    <row r="8" spans="1:9">
      <c r="B8" s="294" t="s">
        <v>460</v>
      </c>
      <c r="C8" s="299">
        <f>Model!I235</f>
        <v>266432.02532209409</v>
      </c>
      <c r="D8" s="299">
        <f>Model!I238</f>
        <v>243708.0053220941</v>
      </c>
      <c r="E8" s="299">
        <f>Model!I240</f>
        <v>8269.6981785576554</v>
      </c>
      <c r="F8" s="300">
        <f>F7</f>
        <v>10675</v>
      </c>
      <c r="G8" s="301">
        <f t="shared" ref="G8:G11" si="0">E8-F8</f>
        <v>-2405.3018214423446</v>
      </c>
      <c r="H8" s="302">
        <f t="shared" ref="H8:H11" si="1">G8/F8</f>
        <v>-0.22532101371825242</v>
      </c>
      <c r="I8" s="303" t="str">
        <f t="shared" ref="I8:I11" si="2">IF(H8&lt;0,"Overvalued","Undervalued")</f>
        <v>Overvalued</v>
      </c>
    </row>
    <row r="9" spans="1:9">
      <c r="B9" s="294" t="s">
        <v>461</v>
      </c>
      <c r="C9" s="299">
        <f>Model!D199</f>
        <v>246992.02102697367</v>
      </c>
      <c r="D9" s="299">
        <f>Model!G199</f>
        <v>220532.38102697369</v>
      </c>
      <c r="E9" s="299">
        <f>Model!I199</f>
        <v>7483.2840524931689</v>
      </c>
      <c r="F9" s="300">
        <f t="shared" ref="F9:F11" si="3">F8</f>
        <v>10675</v>
      </c>
      <c r="G9" s="301">
        <f t="shared" si="0"/>
        <v>-3191.7159475068311</v>
      </c>
      <c r="H9" s="302">
        <f t="shared" si="1"/>
        <v>-0.29898978430977341</v>
      </c>
      <c r="I9" s="303" t="str">
        <f t="shared" si="2"/>
        <v>Overvalued</v>
      </c>
    </row>
    <row r="10" spans="1:9">
      <c r="B10" s="294" t="s">
        <v>462</v>
      </c>
      <c r="C10" s="299">
        <f>Model!D198</f>
        <v>222733.0084229199</v>
      </c>
      <c r="D10" s="299">
        <f>Model!G198</f>
        <v>196273.36842291991</v>
      </c>
      <c r="E10" s="299">
        <f>Model!I198</f>
        <v>6660.1075135025421</v>
      </c>
      <c r="F10" s="300">
        <f t="shared" si="3"/>
        <v>10675</v>
      </c>
      <c r="G10" s="301">
        <f t="shared" si="0"/>
        <v>-4014.8924864974579</v>
      </c>
      <c r="H10" s="302">
        <f t="shared" si="1"/>
        <v>-0.37610234065549958</v>
      </c>
      <c r="I10" s="303" t="str">
        <f t="shared" si="2"/>
        <v>Overvalued</v>
      </c>
    </row>
    <row r="11" spans="1:9" ht="15" thickBot="1">
      <c r="B11" s="295" t="s">
        <v>463</v>
      </c>
      <c r="C11" s="304">
        <f>Model!D200</f>
        <v>244640.67756947136</v>
      </c>
      <c r="D11" s="304">
        <f>Model!G200</f>
        <v>218181.03756947134</v>
      </c>
      <c r="E11" s="304">
        <f>Model!I200</f>
        <v>7403.4963545799574</v>
      </c>
      <c r="F11" s="305">
        <f t="shared" si="3"/>
        <v>10675</v>
      </c>
      <c r="G11" s="306">
        <f t="shared" si="0"/>
        <v>-3271.5036454200426</v>
      </c>
      <c r="H11" s="307">
        <f t="shared" si="1"/>
        <v>-0.30646404172553093</v>
      </c>
      <c r="I11" s="191" t="str">
        <f t="shared" si="2"/>
        <v>Overvalued</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6"/>
  <sheetViews>
    <sheetView workbookViewId="0">
      <selection activeCell="A7" sqref="A7"/>
    </sheetView>
  </sheetViews>
  <sheetFormatPr defaultRowHeight="14.5"/>
  <cols>
    <col min="1" max="1" width="28" style="308" bestFit="1" customWidth="1"/>
    <col min="2" max="2" width="32.7265625" style="308" bestFit="1" customWidth="1"/>
    <col min="3" max="3" width="110.54296875" style="308" bestFit="1" customWidth="1"/>
    <col min="4" max="16384" width="8.7265625" style="308"/>
  </cols>
  <sheetData>
    <row r="1" spans="1:3" ht="18.5">
      <c r="A1" s="309" t="s">
        <v>464</v>
      </c>
    </row>
    <row r="3" spans="1:3" ht="15.5">
      <c r="A3" s="310" t="s">
        <v>465</v>
      </c>
    </row>
    <row r="5" spans="1:3">
      <c r="B5" s="92" t="s">
        <v>466</v>
      </c>
    </row>
    <row r="6" spans="1:3">
      <c r="B6" s="308" t="s">
        <v>467</v>
      </c>
      <c r="C6" s="311" t="s">
        <v>468</v>
      </c>
    </row>
    <row r="7" spans="1:3">
      <c r="B7" s="308" t="s">
        <v>469</v>
      </c>
      <c r="C7" s="308" t="s">
        <v>470</v>
      </c>
    </row>
    <row r="10" spans="1:3">
      <c r="B10" s="312" t="s">
        <v>471</v>
      </c>
      <c r="C10" s="313"/>
    </row>
    <row r="11" spans="1:3" ht="29">
      <c r="B11" s="314" t="s">
        <v>472</v>
      </c>
      <c r="C11" s="313" t="s">
        <v>473</v>
      </c>
    </row>
    <row r="12" spans="1:3" ht="29">
      <c r="B12" s="314" t="s">
        <v>145</v>
      </c>
      <c r="C12" s="313" t="s">
        <v>474</v>
      </c>
    </row>
    <row r="13" spans="1:3" ht="29">
      <c r="B13" s="314" t="s">
        <v>242</v>
      </c>
      <c r="C13" s="313" t="s">
        <v>475</v>
      </c>
    </row>
    <row r="14" spans="1:3" ht="29">
      <c r="B14" s="314" t="s">
        <v>476</v>
      </c>
      <c r="C14" s="313" t="s">
        <v>477</v>
      </c>
    </row>
    <row r="15" spans="1:3" ht="29">
      <c r="B15" s="314" t="s">
        <v>478</v>
      </c>
      <c r="C15" s="313" t="s">
        <v>479</v>
      </c>
    </row>
    <row r="16" spans="1:3" ht="43.5">
      <c r="B16" s="314" t="s">
        <v>480</v>
      </c>
      <c r="C16" s="313" t="s">
        <v>481</v>
      </c>
    </row>
    <row r="17" spans="2:3">
      <c r="B17" s="314" t="s">
        <v>482</v>
      </c>
      <c r="C17" s="313" t="s">
        <v>483</v>
      </c>
    </row>
    <row r="18" spans="2:3">
      <c r="B18" s="314" t="s">
        <v>484</v>
      </c>
      <c r="C18" s="313" t="s">
        <v>485</v>
      </c>
    </row>
    <row r="19" spans="2:3">
      <c r="B19" s="314" t="s">
        <v>486</v>
      </c>
      <c r="C19" s="313" t="s">
        <v>487</v>
      </c>
    </row>
    <row r="20" spans="2:3" ht="29">
      <c r="B20" s="314" t="s">
        <v>488</v>
      </c>
      <c r="C20" s="313" t="s">
        <v>489</v>
      </c>
    </row>
    <row r="21" spans="2:3">
      <c r="B21" s="314" t="s">
        <v>490</v>
      </c>
      <c r="C21" s="313" t="s">
        <v>491</v>
      </c>
    </row>
    <row r="22" spans="2:3" ht="29">
      <c r="B22" s="314" t="s">
        <v>167</v>
      </c>
      <c r="C22" s="313" t="s">
        <v>492</v>
      </c>
    </row>
    <row r="23" spans="2:3" ht="29">
      <c r="B23" s="314" t="s">
        <v>493</v>
      </c>
      <c r="C23" s="313" t="s">
        <v>494</v>
      </c>
    </row>
    <row r="24" spans="2:3" ht="29">
      <c r="B24" s="314" t="s">
        <v>495</v>
      </c>
      <c r="C24" s="313" t="s">
        <v>496</v>
      </c>
    </row>
    <row r="25" spans="2:3" ht="43.5">
      <c r="B25" s="314" t="s">
        <v>497</v>
      </c>
      <c r="C25" s="313" t="s">
        <v>498</v>
      </c>
    </row>
    <row r="26" spans="2:3" ht="29">
      <c r="B26" s="314" t="s">
        <v>499</v>
      </c>
      <c r="C26" s="313" t="s">
        <v>500</v>
      </c>
    </row>
    <row r="27" spans="2:3" ht="43.5">
      <c r="B27" s="314" t="s">
        <v>349</v>
      </c>
      <c r="C27" s="313" t="s">
        <v>501</v>
      </c>
    </row>
    <row r="28" spans="2:3" ht="29">
      <c r="B28" s="314" t="s">
        <v>502</v>
      </c>
      <c r="C28" s="313" t="s">
        <v>503</v>
      </c>
    </row>
    <row r="29" spans="2:3" ht="29">
      <c r="B29" s="314" t="s">
        <v>504</v>
      </c>
      <c r="C29" s="313" t="s">
        <v>505</v>
      </c>
    </row>
    <row r="30" spans="2:3" ht="43.5">
      <c r="B30" s="314" t="s">
        <v>506</v>
      </c>
      <c r="C30" s="313" t="s">
        <v>507</v>
      </c>
    </row>
    <row r="31" spans="2:3" ht="43.5">
      <c r="B31" s="314" t="s">
        <v>508</v>
      </c>
      <c r="C31" s="313" t="s">
        <v>509</v>
      </c>
    </row>
    <row r="32" spans="2:3">
      <c r="B32" s="314"/>
      <c r="C32" s="313"/>
    </row>
    <row r="33" spans="2:3">
      <c r="B33" s="312" t="s">
        <v>510</v>
      </c>
      <c r="C33" s="313"/>
    </row>
    <row r="34" spans="2:3">
      <c r="B34" s="314" t="s">
        <v>346</v>
      </c>
      <c r="C34" s="313" t="s">
        <v>511</v>
      </c>
    </row>
    <row r="35" spans="2:3">
      <c r="B35" s="314" t="s">
        <v>315</v>
      </c>
      <c r="C35" s="313" t="s">
        <v>512</v>
      </c>
    </row>
    <row r="36" spans="2:3">
      <c r="B36" s="314" t="s">
        <v>347</v>
      </c>
      <c r="C36" s="313" t="s">
        <v>513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170"/>
  <sheetViews>
    <sheetView showGridLines="0" zoomScale="85" zoomScaleNormal="85" workbookViewId="0">
      <selection activeCell="H18" sqref="H18"/>
    </sheetView>
  </sheetViews>
  <sheetFormatPr defaultColWidth="12.6328125" defaultRowHeight="14.5"/>
  <cols>
    <col min="1" max="1" width="1.81640625" customWidth="1"/>
    <col min="2" max="2" width="40.6328125" customWidth="1"/>
    <col min="9" max="9" width="12.6328125" style="5" customWidth="1"/>
  </cols>
  <sheetData>
    <row r="2" spans="1:7" ht="31">
      <c r="B2" s="1" t="s">
        <v>0</v>
      </c>
      <c r="C2" s="2"/>
      <c r="D2" s="2"/>
      <c r="E2" s="2"/>
      <c r="F2" s="2"/>
      <c r="G2" s="2"/>
    </row>
    <row r="3" spans="1:7">
      <c r="B3" s="10" t="s">
        <v>1</v>
      </c>
    </row>
    <row r="4" spans="1:7">
      <c r="A4" t="s">
        <v>2</v>
      </c>
      <c r="B4" s="4" t="s">
        <v>3</v>
      </c>
      <c r="C4" s="4">
        <v>2022</v>
      </c>
      <c r="D4" s="4">
        <f>C4+1</f>
        <v>2023</v>
      </c>
      <c r="E4" s="4">
        <f>D4+1</f>
        <v>2024</v>
      </c>
      <c r="F4" s="4">
        <f>E4+1</f>
        <v>2025</v>
      </c>
      <c r="G4" s="4">
        <f>F4+1</f>
        <v>2026</v>
      </c>
    </row>
    <row r="6" spans="1:7">
      <c r="B6" t="s">
        <v>4</v>
      </c>
      <c r="C6" s="13">
        <v>52598.83</v>
      </c>
      <c r="D6" s="13">
        <v>63239.98</v>
      </c>
      <c r="E6" s="13">
        <v>70908.14</v>
      </c>
      <c r="F6" s="13">
        <v>75955.13</v>
      </c>
      <c r="G6" s="13">
        <v>88511.53</v>
      </c>
    </row>
    <row r="7" spans="1:7">
      <c r="B7" t="s">
        <v>5</v>
      </c>
      <c r="C7" s="13">
        <v>507.81</v>
      </c>
      <c r="D7" s="13">
        <v>503.08</v>
      </c>
      <c r="E7" s="13">
        <v>616.95000000000005</v>
      </c>
      <c r="F7" s="13">
        <v>744.17</v>
      </c>
      <c r="G7" s="13">
        <v>577.51</v>
      </c>
    </row>
    <row r="8" spans="1:7">
      <c r="B8" s="9" t="s">
        <v>6</v>
      </c>
      <c r="C8" s="21">
        <f>SUM(C6:C7)</f>
        <v>53106.64</v>
      </c>
      <c r="D8" s="21">
        <f>SUM(D6:D7)</f>
        <v>63743.060000000005</v>
      </c>
      <c r="E8" s="21">
        <f>SUM(E6:E7)</f>
        <v>71525.09</v>
      </c>
      <c r="F8" s="21">
        <f>SUM(F6:F7)</f>
        <v>76699.3</v>
      </c>
      <c r="G8" s="21">
        <f>SUM(G6:G7)</f>
        <v>89089.04</v>
      </c>
    </row>
    <row r="9" spans="1:7">
      <c r="B9" s="6" t="s">
        <v>7</v>
      </c>
      <c r="C9" s="15"/>
      <c r="D9" s="15"/>
      <c r="E9" s="15"/>
      <c r="F9" s="15"/>
      <c r="G9" s="15"/>
    </row>
    <row r="10" spans="1:7">
      <c r="B10" t="s">
        <v>8</v>
      </c>
      <c r="C10" s="13">
        <v>7096.49</v>
      </c>
      <c r="D10" s="13">
        <v>8933.49</v>
      </c>
      <c r="E10" s="13">
        <v>10252.41</v>
      </c>
      <c r="F10" s="13">
        <v>11821.72</v>
      </c>
      <c r="G10" s="13">
        <v>14568.44</v>
      </c>
    </row>
    <row r="11" spans="1:7">
      <c r="B11" t="s">
        <v>9</v>
      </c>
      <c r="C11" s="13">
        <v>1251.6600000000001</v>
      </c>
      <c r="D11" s="13">
        <v>1299.68</v>
      </c>
      <c r="E11" s="13">
        <v>1733.86</v>
      </c>
      <c r="F11" s="13">
        <v>1869.74</v>
      </c>
      <c r="G11" s="13">
        <v>2516.5700000000002</v>
      </c>
    </row>
    <row r="12" spans="1:7">
      <c r="B12" t="s">
        <v>10</v>
      </c>
      <c r="C12" s="13">
        <v>-383.16</v>
      </c>
      <c r="D12" s="13">
        <v>-518.21</v>
      </c>
      <c r="E12" s="13">
        <v>-83.35</v>
      </c>
      <c r="F12" s="13">
        <v>12.27</v>
      </c>
      <c r="G12" s="13">
        <v>103.35</v>
      </c>
    </row>
    <row r="13" spans="1:7">
      <c r="B13" t="s">
        <v>11</v>
      </c>
      <c r="C13" s="13">
        <v>2534.6799999999998</v>
      </c>
      <c r="D13" s="13">
        <v>2738.97</v>
      </c>
      <c r="E13" s="13">
        <v>3037.58</v>
      </c>
      <c r="F13" s="13">
        <v>3604.59</v>
      </c>
      <c r="G13" s="13">
        <v>4162.4399999999996</v>
      </c>
    </row>
    <row r="14" spans="1:7">
      <c r="B14" t="s">
        <v>12</v>
      </c>
      <c r="C14" s="13">
        <v>944.71</v>
      </c>
      <c r="D14" s="13">
        <v>822.72</v>
      </c>
      <c r="E14" s="13">
        <v>968</v>
      </c>
      <c r="F14" s="13">
        <v>1650.54</v>
      </c>
      <c r="G14" s="13">
        <v>1871.71</v>
      </c>
    </row>
    <row r="15" spans="1:7">
      <c r="B15" t="s">
        <v>13</v>
      </c>
      <c r="C15" s="13">
        <v>2714.75</v>
      </c>
      <c r="D15" s="13">
        <v>2887.99</v>
      </c>
      <c r="E15" s="13">
        <v>3145.3</v>
      </c>
      <c r="F15" s="13">
        <v>4014.95</v>
      </c>
      <c r="G15" s="13">
        <v>4644.46</v>
      </c>
    </row>
    <row r="16" spans="1:7">
      <c r="B16" t="s">
        <v>14</v>
      </c>
      <c r="C16" s="13">
        <v>12137.26</v>
      </c>
      <c r="D16" s="13">
        <v>18491.32</v>
      </c>
      <c r="E16" s="13">
        <v>18283.32</v>
      </c>
      <c r="F16" s="13">
        <v>18419.150000000001</v>
      </c>
      <c r="G16" s="13">
        <v>19597.16</v>
      </c>
    </row>
    <row r="17" spans="2:10">
      <c r="B17" t="s">
        <v>15</v>
      </c>
      <c r="C17" s="13">
        <v>11712.33</v>
      </c>
      <c r="D17" s="13">
        <v>14009.16</v>
      </c>
      <c r="E17" s="13">
        <v>15880.67</v>
      </c>
      <c r="F17" s="13">
        <v>17459.830000000002</v>
      </c>
      <c r="G17" s="13">
        <v>19169.13</v>
      </c>
    </row>
    <row r="18" spans="2:10">
      <c r="B18" t="s">
        <v>16</v>
      </c>
      <c r="C18" s="13">
        <v>6735.22</v>
      </c>
      <c r="D18" s="27">
        <v>7665.72</v>
      </c>
      <c r="E18" s="27">
        <v>8835.09</v>
      </c>
      <c r="F18" s="13">
        <v>10210.379999999999</v>
      </c>
      <c r="G18" s="13">
        <v>11374.21</v>
      </c>
    </row>
    <row r="19" spans="2:10">
      <c r="B19" s="9" t="s">
        <v>17</v>
      </c>
      <c r="C19" s="21">
        <f>SUM(C10:C18)</f>
        <v>44743.94</v>
      </c>
      <c r="D19" s="14">
        <f>SUM(D10:D18)</f>
        <v>56330.84</v>
      </c>
      <c r="E19" s="14">
        <f>SUM(E10:E18)</f>
        <v>62052.87999999999</v>
      </c>
      <c r="F19" s="21">
        <f>SUM(F10:F18)</f>
        <v>69063.170000000013</v>
      </c>
      <c r="G19" s="21">
        <f>SUM(G10:G18)</f>
        <v>78007.47</v>
      </c>
    </row>
    <row r="20" spans="2:10">
      <c r="B20" s="9" t="s">
        <v>30</v>
      </c>
      <c r="C20" s="21">
        <f>C8-C19</f>
        <v>8362.6999999999971</v>
      </c>
      <c r="D20" s="21">
        <f>D8-D19</f>
        <v>7412.2200000000084</v>
      </c>
      <c r="E20" s="21">
        <f>E8-E19</f>
        <v>9472.2100000000064</v>
      </c>
      <c r="F20" s="21">
        <f>F8-F19</f>
        <v>7636.1299999999901</v>
      </c>
      <c r="G20" s="21">
        <f>G8-G19</f>
        <v>11081.569999999992</v>
      </c>
    </row>
    <row r="21" spans="2:10">
      <c r="C21" s="15"/>
      <c r="D21" s="15"/>
      <c r="E21" s="15"/>
      <c r="F21" s="15"/>
      <c r="G21" s="15"/>
    </row>
    <row r="22" spans="2:10">
      <c r="B22" s="6" t="s">
        <v>18</v>
      </c>
      <c r="C22" s="15"/>
      <c r="D22" s="15"/>
      <c r="E22" s="15"/>
      <c r="F22" s="15"/>
      <c r="G22" s="15"/>
    </row>
    <row r="23" spans="2:10">
      <c r="B23" t="s">
        <v>19</v>
      </c>
      <c r="C23" s="13"/>
      <c r="D23" s="13"/>
      <c r="E23" s="13"/>
      <c r="F23" s="13">
        <v>9.35</v>
      </c>
      <c r="G23" s="13">
        <v>50.07</v>
      </c>
    </row>
    <row r="24" spans="2:10">
      <c r="B24" t="s">
        <v>20</v>
      </c>
      <c r="C24" s="13"/>
      <c r="D24" s="13"/>
      <c r="E24" s="13"/>
      <c r="F24" s="13"/>
      <c r="G24" s="13">
        <v>88.48</v>
      </c>
    </row>
    <row r="25" spans="2:10">
      <c r="B25" t="s">
        <v>21</v>
      </c>
      <c r="C25" s="13"/>
      <c r="D25" s="27"/>
      <c r="E25" s="27">
        <v>72</v>
      </c>
      <c r="F25" s="13">
        <v>88.08</v>
      </c>
      <c r="G25" s="13"/>
    </row>
    <row r="26" spans="2:10">
      <c r="B26" s="8" t="s">
        <v>22</v>
      </c>
      <c r="C26" s="12">
        <f>C20-SUM(C23:C25)</f>
        <v>8362.6999999999971</v>
      </c>
      <c r="D26" s="14">
        <f>D20-SUM(D23:D25)</f>
        <v>7412.2200000000084</v>
      </c>
      <c r="E26" s="14">
        <f>E20-SUM(E23:E25)</f>
        <v>9400.2100000000064</v>
      </c>
      <c r="F26" s="12">
        <f>F20-SUM(F23:F25)</f>
        <v>7538.6999999999898</v>
      </c>
      <c r="G26" s="12">
        <f>G20-SUM(G23:G25)</f>
        <v>10943.019999999993</v>
      </c>
      <c r="J26" s="5"/>
    </row>
    <row r="27" spans="2:10">
      <c r="B27" t="s">
        <v>23</v>
      </c>
      <c r="C27" s="22">
        <v>1.7</v>
      </c>
      <c r="D27" s="13">
        <v>4.03</v>
      </c>
      <c r="E27" s="13">
        <v>22.01</v>
      </c>
      <c r="F27" s="13">
        <v>-10.57</v>
      </c>
      <c r="G27" s="13">
        <v>-15.83</v>
      </c>
    </row>
    <row r="28" spans="2:10">
      <c r="B28" s="9" t="s">
        <v>24</v>
      </c>
      <c r="C28" s="21">
        <f>SUM(C26:C27)</f>
        <v>8364.3999999999978</v>
      </c>
      <c r="D28" s="21">
        <f>SUM(D26:D27)</f>
        <v>7416.2500000000082</v>
      </c>
      <c r="E28" s="21">
        <f>SUM(E26:E27)</f>
        <v>9422.2200000000066</v>
      </c>
      <c r="F28" s="21">
        <f>F26+F27</f>
        <v>7528.1299999999901</v>
      </c>
      <c r="G28" s="21">
        <f>G26+G27</f>
        <v>10927.189999999993</v>
      </c>
    </row>
    <row r="29" spans="2:10">
      <c r="B29" s="6" t="s">
        <v>25</v>
      </c>
      <c r="C29" s="15"/>
      <c r="D29" s="15"/>
      <c r="E29" s="15"/>
      <c r="F29" s="15"/>
      <c r="G29" s="15"/>
    </row>
    <row r="30" spans="2:10">
      <c r="B30" t="s">
        <v>26</v>
      </c>
      <c r="C30" s="22">
        <v>1211.22</v>
      </c>
      <c r="D30" s="13">
        <v>2070.77</v>
      </c>
      <c r="E30" s="13">
        <v>2218.48</v>
      </c>
      <c r="F30" s="13">
        <v>828.29</v>
      </c>
      <c r="G30" s="13">
        <v>2313.62</v>
      </c>
    </row>
    <row r="31" spans="2:10">
      <c r="B31" t="s">
        <v>27</v>
      </c>
      <c r="C31" s="22">
        <v>-21.16</v>
      </c>
      <c r="D31" s="13">
        <v>272.08</v>
      </c>
      <c r="E31" s="13">
        <v>199.78</v>
      </c>
      <c r="F31" s="13">
        <v>660.2</v>
      </c>
      <c r="G31" s="13">
        <v>425.22</v>
      </c>
    </row>
    <row r="32" spans="2:10">
      <c r="B32" s="6" t="s">
        <v>28</v>
      </c>
      <c r="C32" s="25">
        <f>SUM(C30:C31)</f>
        <v>1190.06</v>
      </c>
      <c r="D32" s="26">
        <f>SUM(D30:D31)</f>
        <v>2342.85</v>
      </c>
      <c r="E32" s="26">
        <f>SUM(E30:E31)</f>
        <v>2418.2600000000002</v>
      </c>
      <c r="F32" s="14">
        <f>SUM(F30:F31)</f>
        <v>1488.49</v>
      </c>
      <c r="G32" s="14">
        <f>SUM(G30:G31)</f>
        <v>2738.84</v>
      </c>
    </row>
    <row r="33" spans="1:9">
      <c r="B33" s="9" t="s">
        <v>29</v>
      </c>
      <c r="C33" s="39">
        <f>C28-C32</f>
        <v>7174.3399999999983</v>
      </c>
      <c r="D33" s="21">
        <f>D28-D32</f>
        <v>5073.4000000000087</v>
      </c>
      <c r="E33" s="21">
        <f>E28-E32</f>
        <v>7003.9600000000064</v>
      </c>
      <c r="F33" s="21">
        <f>F28-F32</f>
        <v>6039.6399999999903</v>
      </c>
      <c r="G33" s="21">
        <f>G28-G32</f>
        <v>8188.3499999999931</v>
      </c>
    </row>
    <row r="34" spans="1:9">
      <c r="B34" t="s">
        <v>224</v>
      </c>
      <c r="C34" s="79">
        <v>-10.050000000000001</v>
      </c>
      <c r="D34" s="79">
        <v>9.44</v>
      </c>
      <c r="E34" s="79">
        <v>-1.04</v>
      </c>
      <c r="F34" s="80">
        <v>0.53</v>
      </c>
      <c r="G34" s="80">
        <v>22.71</v>
      </c>
    </row>
    <row r="35" spans="1:9" s="60" customFormat="1">
      <c r="C35" s="25"/>
      <c r="D35" s="25"/>
      <c r="E35" s="25"/>
      <c r="F35" s="74"/>
      <c r="G35" s="74"/>
      <c r="I35" s="63"/>
    </row>
    <row r="36" spans="1:9">
      <c r="B36" s="20" t="s">
        <v>31</v>
      </c>
      <c r="C36" s="28">
        <v>254.64</v>
      </c>
      <c r="D36" s="28">
        <v>175.63</v>
      </c>
      <c r="E36" s="28">
        <v>243.05</v>
      </c>
      <c r="F36" s="28">
        <v>205.3</v>
      </c>
      <c r="G36" s="29">
        <v>277.62</v>
      </c>
    </row>
    <row r="37" spans="1:9">
      <c r="B37" s="19" t="s">
        <v>32</v>
      </c>
      <c r="C37" s="27">
        <v>254.53</v>
      </c>
      <c r="D37" s="27">
        <v>175.54</v>
      </c>
      <c r="E37" s="27">
        <v>242.87</v>
      </c>
      <c r="F37" s="27">
        <v>205.13</v>
      </c>
      <c r="G37" s="30">
        <v>277.45</v>
      </c>
    </row>
    <row r="38" spans="1:9">
      <c r="C38" s="18"/>
      <c r="D38" s="18"/>
      <c r="E38" s="18"/>
    </row>
    <row r="39" spans="1:9">
      <c r="A39" s="3" t="s">
        <v>2</v>
      </c>
      <c r="B39" s="4" t="s">
        <v>157</v>
      </c>
      <c r="C39" s="4">
        <v>2022</v>
      </c>
      <c r="D39" s="4">
        <f>C39+1</f>
        <v>2023</v>
      </c>
      <c r="E39" s="4">
        <f>D39+1</f>
        <v>2024</v>
      </c>
      <c r="F39" s="4">
        <f>E39+1</f>
        <v>2025</v>
      </c>
      <c r="G39" s="4">
        <f>F39+1</f>
        <v>2026</v>
      </c>
      <c r="I39" s="41"/>
    </row>
    <row r="40" spans="1:9">
      <c r="C40" s="18"/>
      <c r="D40" s="7"/>
      <c r="E40" s="7"/>
      <c r="I40" s="41"/>
    </row>
    <row r="41" spans="1:9">
      <c r="B41" s="6" t="s">
        <v>33</v>
      </c>
      <c r="C41" s="7"/>
      <c r="D41" s="18"/>
      <c r="E41" s="18"/>
      <c r="I41" s="41"/>
    </row>
    <row r="42" spans="1:9">
      <c r="B42" s="6" t="s">
        <v>34</v>
      </c>
      <c r="C42" s="23"/>
      <c r="D42" s="18"/>
      <c r="E42" s="18"/>
      <c r="I42" s="41"/>
    </row>
    <row r="43" spans="1:9">
      <c r="B43" t="s">
        <v>35</v>
      </c>
      <c r="C43" s="22">
        <v>42592.19</v>
      </c>
      <c r="D43" s="22">
        <v>46480.28</v>
      </c>
      <c r="E43" s="22">
        <v>50126.09</v>
      </c>
      <c r="F43" s="22">
        <v>76015.19</v>
      </c>
      <c r="G43" s="22">
        <v>80283.38</v>
      </c>
    </row>
    <row r="44" spans="1:9">
      <c r="B44" t="s">
        <v>36</v>
      </c>
      <c r="C44" s="22">
        <v>4777.25</v>
      </c>
      <c r="D44" s="22">
        <v>4034.91</v>
      </c>
      <c r="E44" s="22">
        <v>6782.77</v>
      </c>
      <c r="F44" s="22">
        <v>6188.27</v>
      </c>
      <c r="G44" s="22">
        <v>8275.8700000000008</v>
      </c>
    </row>
    <row r="45" spans="1:9">
      <c r="B45" t="s">
        <v>37</v>
      </c>
      <c r="C45" s="22">
        <v>1178.5999999999999</v>
      </c>
      <c r="D45" s="22">
        <v>1190.3599999999999</v>
      </c>
      <c r="E45" s="22">
        <v>916.27</v>
      </c>
      <c r="F45" s="13">
        <v>835.73</v>
      </c>
      <c r="G45" s="13">
        <v>714.34</v>
      </c>
    </row>
    <row r="46" spans="1:9">
      <c r="B46" t="s">
        <v>38</v>
      </c>
      <c r="C46" s="22">
        <v>6250.21</v>
      </c>
      <c r="D46" s="22">
        <v>6329.26</v>
      </c>
      <c r="E46" s="22">
        <v>6345.49</v>
      </c>
      <c r="F46" s="22">
        <v>7681.78</v>
      </c>
      <c r="G46" s="22">
        <v>7909.05</v>
      </c>
    </row>
    <row r="47" spans="1:9">
      <c r="B47" t="s">
        <v>39</v>
      </c>
      <c r="C47" s="22">
        <v>5466.57</v>
      </c>
      <c r="D47" s="13">
        <v>5579.1</v>
      </c>
      <c r="E47" s="13">
        <v>5489.76</v>
      </c>
      <c r="F47" s="22">
        <v>10031.52</v>
      </c>
      <c r="G47" s="22">
        <v>9886.7800000000007</v>
      </c>
    </row>
    <row r="48" spans="1:9">
      <c r="B48" t="s">
        <v>40</v>
      </c>
      <c r="C48" s="22">
        <v>7.42</v>
      </c>
      <c r="D48" s="13">
        <v>5.48</v>
      </c>
      <c r="E48" s="13">
        <v>28.41</v>
      </c>
      <c r="F48" s="13">
        <v>45.92</v>
      </c>
      <c r="G48" s="13">
        <v>466.4</v>
      </c>
    </row>
    <row r="49" spans="2:9">
      <c r="C49" s="31"/>
      <c r="D49" s="31"/>
      <c r="E49" s="31"/>
      <c r="F49" s="31"/>
      <c r="G49" s="31"/>
    </row>
    <row r="50" spans="2:9">
      <c r="B50" t="s">
        <v>41</v>
      </c>
      <c r="C50" s="22">
        <v>30.17</v>
      </c>
      <c r="D50" s="13">
        <v>876.01</v>
      </c>
      <c r="E50" s="13">
        <v>968.94</v>
      </c>
      <c r="F50" s="13">
        <v>300.12</v>
      </c>
      <c r="G50" s="13">
        <v>319.41000000000003</v>
      </c>
      <c r="I50" s="41"/>
    </row>
    <row r="51" spans="2:9">
      <c r="B51" s="6" t="s">
        <v>42</v>
      </c>
      <c r="C51" s="13"/>
      <c r="D51" s="13"/>
      <c r="E51" s="13"/>
      <c r="F51" s="13"/>
      <c r="G51" s="13"/>
      <c r="I51" s="41"/>
    </row>
    <row r="52" spans="2:9">
      <c r="B52" t="s">
        <v>43</v>
      </c>
      <c r="C52" s="22">
        <v>1342.26</v>
      </c>
      <c r="D52" s="13">
        <v>584.34</v>
      </c>
      <c r="E52" s="13">
        <v>1795.21</v>
      </c>
      <c r="F52" s="13">
        <v>1997.28</v>
      </c>
      <c r="G52" s="13">
        <v>2684.48</v>
      </c>
      <c r="I52" s="41"/>
    </row>
    <row r="53" spans="2:9">
      <c r="B53" t="s">
        <v>44</v>
      </c>
      <c r="C53" s="22">
        <v>9.59</v>
      </c>
      <c r="D53" s="13">
        <v>9.2200000000000006</v>
      </c>
      <c r="E53" s="13">
        <v>8.31</v>
      </c>
      <c r="F53" s="13">
        <v>16.21</v>
      </c>
      <c r="G53" s="13">
        <v>17.21</v>
      </c>
      <c r="I53" s="41"/>
    </row>
    <row r="54" spans="2:9">
      <c r="B54" t="s">
        <v>45</v>
      </c>
      <c r="C54" s="22">
        <v>1109.98</v>
      </c>
      <c r="D54" s="13">
        <v>1881.11</v>
      </c>
      <c r="E54" s="13">
        <v>1457.23</v>
      </c>
      <c r="F54" s="13">
        <v>2933.16</v>
      </c>
      <c r="G54" s="13">
        <v>3063.39</v>
      </c>
      <c r="I54" s="41"/>
    </row>
    <row r="55" spans="2:9">
      <c r="C55" s="31"/>
      <c r="D55" s="31"/>
      <c r="E55" s="31"/>
      <c r="F55" s="31"/>
      <c r="G55" s="31"/>
      <c r="I55" s="41"/>
    </row>
    <row r="56" spans="2:9">
      <c r="B56" t="s">
        <v>46</v>
      </c>
      <c r="C56" s="22">
        <v>479.46</v>
      </c>
      <c r="D56" s="13">
        <v>401.94</v>
      </c>
      <c r="E56" s="13">
        <v>4.9000000000000004</v>
      </c>
      <c r="F56" s="13">
        <v>857.91</v>
      </c>
      <c r="G56" s="13">
        <v>266.26</v>
      </c>
      <c r="I56" s="41"/>
    </row>
    <row r="57" spans="2:9">
      <c r="B57" t="s">
        <v>47</v>
      </c>
      <c r="C57" s="22">
        <v>16.350000000000001</v>
      </c>
      <c r="D57" s="13">
        <v>6.56</v>
      </c>
      <c r="E57" s="13">
        <v>456.03</v>
      </c>
      <c r="F57" s="13">
        <v>65.09</v>
      </c>
      <c r="G57" s="13">
        <v>60.95</v>
      </c>
      <c r="I57" s="41"/>
    </row>
    <row r="58" spans="2:9">
      <c r="B58" t="s">
        <v>48</v>
      </c>
      <c r="C58" s="22">
        <v>3078.27</v>
      </c>
      <c r="D58" s="13">
        <v>3265.49</v>
      </c>
      <c r="E58" s="13">
        <v>3264.23</v>
      </c>
      <c r="F58" s="13">
        <v>2991.77</v>
      </c>
      <c r="G58" s="13">
        <v>2181.09</v>
      </c>
      <c r="I58" s="41"/>
    </row>
    <row r="59" spans="2:9">
      <c r="B59" s="8" t="s">
        <v>49</v>
      </c>
      <c r="C59" s="12">
        <f>SUM(C43:C58)</f>
        <v>66338.319999999992</v>
      </c>
      <c r="D59" s="12">
        <f>SUM(D43:D58)</f>
        <v>70644.060000000012</v>
      </c>
      <c r="E59" s="12">
        <f>SUM(E43:E58)</f>
        <v>77643.639999999985</v>
      </c>
      <c r="F59" s="12">
        <f>SUM(F43:F58)</f>
        <v>109959.95000000001</v>
      </c>
      <c r="G59" s="12">
        <f>SUM(G43:G58)</f>
        <v>116128.60999999999</v>
      </c>
      <c r="I59" s="41"/>
    </row>
    <row r="60" spans="2:9">
      <c r="B60" s="6" t="s">
        <v>50</v>
      </c>
      <c r="C60" s="15"/>
      <c r="D60" s="15"/>
      <c r="E60" s="15"/>
      <c r="F60" s="15"/>
      <c r="G60" s="15"/>
      <c r="I60" s="41"/>
    </row>
    <row r="61" spans="2:9">
      <c r="B61" t="s">
        <v>51</v>
      </c>
      <c r="C61" s="13">
        <v>5595.58</v>
      </c>
      <c r="D61" s="13">
        <v>6611.83</v>
      </c>
      <c r="E61" s="13">
        <v>8329.74</v>
      </c>
      <c r="F61" s="13">
        <v>9562.98</v>
      </c>
      <c r="G61" s="13">
        <v>9694.2800000000007</v>
      </c>
      <c r="I61" s="41"/>
    </row>
    <row r="62" spans="2:9">
      <c r="B62" s="6" t="s">
        <v>52</v>
      </c>
      <c r="C62" s="13"/>
      <c r="D62" s="13"/>
      <c r="E62" s="13"/>
      <c r="F62" s="13"/>
      <c r="G62" s="13"/>
      <c r="I62" s="41"/>
    </row>
    <row r="63" spans="2:9">
      <c r="B63" t="s">
        <v>43</v>
      </c>
      <c r="C63" s="13">
        <v>4963.34</v>
      </c>
      <c r="D63" s="13">
        <v>5836.6</v>
      </c>
      <c r="E63" s="13">
        <v>5484.8</v>
      </c>
      <c r="F63" s="13">
        <v>2859.07</v>
      </c>
      <c r="G63" s="13">
        <v>3735.62</v>
      </c>
      <c r="I63" s="41"/>
    </row>
    <row r="64" spans="2:9">
      <c r="B64" t="s">
        <v>53</v>
      </c>
      <c r="C64" s="13">
        <v>3071.61</v>
      </c>
      <c r="D64" s="13">
        <v>3867.02</v>
      </c>
      <c r="E64" s="13">
        <v>4278.16</v>
      </c>
      <c r="F64" s="13">
        <v>5890.25</v>
      </c>
      <c r="G64" s="13">
        <v>6028.75</v>
      </c>
      <c r="I64" s="41"/>
    </row>
    <row r="65" spans="2:10">
      <c r="B65" t="s">
        <v>54</v>
      </c>
      <c r="C65" s="13">
        <v>120.54</v>
      </c>
      <c r="D65" s="13">
        <v>370.37</v>
      </c>
      <c r="E65" s="13">
        <v>553.58000000000004</v>
      </c>
      <c r="F65" s="13">
        <v>467.21</v>
      </c>
      <c r="G65" s="13">
        <v>354.48</v>
      </c>
      <c r="I65" s="41"/>
    </row>
    <row r="66" spans="2:10">
      <c r="B66" t="s">
        <v>55</v>
      </c>
      <c r="C66" s="13">
        <v>238.64</v>
      </c>
      <c r="D66" s="13">
        <v>779.22</v>
      </c>
      <c r="E66" s="13">
        <v>229.63</v>
      </c>
      <c r="F66" s="13">
        <v>1206.1099999999999</v>
      </c>
      <c r="G66" s="13">
        <v>1029.8699999999999</v>
      </c>
      <c r="I66" s="41"/>
    </row>
    <row r="67" spans="2:10">
      <c r="B67" t="s">
        <v>44</v>
      </c>
      <c r="C67" s="13">
        <v>6.86</v>
      </c>
      <c r="D67" s="13">
        <v>7.67</v>
      </c>
      <c r="E67" s="13">
        <v>8.91</v>
      </c>
      <c r="F67" s="13">
        <v>10</v>
      </c>
      <c r="G67" s="13">
        <v>13.37</v>
      </c>
      <c r="I67" s="41"/>
    </row>
    <row r="68" spans="2:10">
      <c r="B68" t="s">
        <v>45</v>
      </c>
      <c r="C68" s="13">
        <v>1871.95</v>
      </c>
      <c r="D68" s="13">
        <v>1433.82</v>
      </c>
      <c r="E68" s="13">
        <v>2310.35</v>
      </c>
      <c r="F68" s="13">
        <v>1298.68</v>
      </c>
      <c r="G68" s="13">
        <v>1535.87</v>
      </c>
      <c r="I68" s="41"/>
    </row>
    <row r="69" spans="2:10">
      <c r="C69" s="13"/>
      <c r="D69" s="13"/>
      <c r="E69" s="13"/>
      <c r="F69" s="13"/>
      <c r="G69" s="13"/>
      <c r="I69" s="41"/>
    </row>
    <row r="70" spans="2:10">
      <c r="B70" t="s">
        <v>46</v>
      </c>
      <c r="C70" s="13">
        <v>0.09</v>
      </c>
      <c r="D70" s="13">
        <v>7.0000000000000007E-2</v>
      </c>
      <c r="E70" s="13">
        <v>7.0000000000000007E-2</v>
      </c>
      <c r="F70" s="13">
        <v>58</v>
      </c>
      <c r="G70" s="13">
        <v>64.45</v>
      </c>
      <c r="I70" s="41"/>
    </row>
    <row r="71" spans="2:10">
      <c r="B71" t="s">
        <v>56</v>
      </c>
      <c r="C71" s="13">
        <v>1611.33</v>
      </c>
      <c r="D71" s="13">
        <v>1818.28</v>
      </c>
      <c r="E71" s="13">
        <v>1948.23</v>
      </c>
      <c r="F71" s="13">
        <v>2247.21</v>
      </c>
      <c r="G71" s="13">
        <v>2645.06</v>
      </c>
      <c r="I71" s="41"/>
    </row>
    <row r="72" spans="2:10">
      <c r="B72" s="8" t="s">
        <v>57</v>
      </c>
      <c r="C72" s="12">
        <f>SUM(C61:C71)</f>
        <v>17479.940000000002</v>
      </c>
      <c r="D72" s="12">
        <f>SUM(D61:D71)</f>
        <v>20724.879999999997</v>
      </c>
      <c r="E72" s="12">
        <f>SUM(E61:E71)</f>
        <v>23143.47</v>
      </c>
      <c r="F72" s="12">
        <f>SUM(F61:F71)</f>
        <v>23599.51</v>
      </c>
      <c r="G72" s="12">
        <f>SUM(G61:G71)</f>
        <v>25101.75</v>
      </c>
      <c r="I72" s="41"/>
    </row>
    <row r="73" spans="2:10">
      <c r="B73" t="s">
        <v>58</v>
      </c>
      <c r="C73" s="13">
        <v>9.5299999999999994</v>
      </c>
      <c r="D73" s="13">
        <v>18.02</v>
      </c>
      <c r="E73" s="13">
        <v>14.9</v>
      </c>
      <c r="F73" s="13">
        <v>137.69</v>
      </c>
      <c r="G73" s="13">
        <v>145.69</v>
      </c>
      <c r="I73" s="41"/>
    </row>
    <row r="74" spans="2:10" ht="15" thickBot="1">
      <c r="B74" s="11" t="s">
        <v>59</v>
      </c>
      <c r="C74" s="16">
        <f>SUM(C59,C72:C73)</f>
        <v>83827.789999999994</v>
      </c>
      <c r="D74" s="16">
        <f>SUM(D59,D72:D73)</f>
        <v>91386.96</v>
      </c>
      <c r="E74" s="16">
        <f>SUM(E59,E72:E73)</f>
        <v>100802.00999999998</v>
      </c>
      <c r="F74" s="16">
        <f>SUM(F59,F72:F73)</f>
        <v>133697.15000000002</v>
      </c>
      <c r="G74" s="16">
        <f>SUM(G59,G72:G73)</f>
        <v>141376.04999999999</v>
      </c>
      <c r="J74" s="52"/>
    </row>
    <row r="75" spans="2:10">
      <c r="B75" s="6" t="s">
        <v>60</v>
      </c>
      <c r="C75" s="15"/>
      <c r="D75" s="15"/>
      <c r="E75" s="15"/>
      <c r="F75" s="15"/>
      <c r="G75" s="15"/>
    </row>
    <row r="76" spans="2:10">
      <c r="B76" s="6" t="s">
        <v>61</v>
      </c>
      <c r="C76" s="15"/>
      <c r="D76" s="15"/>
      <c r="E76" s="15"/>
      <c r="F76" s="15"/>
      <c r="G76" s="15"/>
    </row>
    <row r="77" spans="2:10">
      <c r="B77" t="s">
        <v>62</v>
      </c>
      <c r="C77" s="13">
        <v>288.67</v>
      </c>
      <c r="D77" s="13">
        <v>288.69</v>
      </c>
      <c r="E77" s="13">
        <v>288.69</v>
      </c>
      <c r="F77" s="13">
        <v>294.68</v>
      </c>
      <c r="G77" s="13">
        <v>294.68</v>
      </c>
    </row>
    <row r="78" spans="2:10">
      <c r="B78" t="s">
        <v>63</v>
      </c>
      <c r="C78" s="13">
        <v>50146.6</v>
      </c>
      <c r="D78" s="13">
        <v>54035.85</v>
      </c>
      <c r="E78" s="13">
        <v>59938.78</v>
      </c>
      <c r="F78" s="13">
        <v>70411.53</v>
      </c>
      <c r="G78" s="13">
        <v>76328.86</v>
      </c>
    </row>
    <row r="79" spans="2:10">
      <c r="B79" t="s">
        <v>64</v>
      </c>
      <c r="C79" s="13">
        <v>-3.06</v>
      </c>
      <c r="D79" s="13">
        <v>55.63</v>
      </c>
      <c r="E79" s="13">
        <v>55.94</v>
      </c>
      <c r="F79" s="13">
        <v>3186.59</v>
      </c>
      <c r="G79" s="13">
        <v>4088.9</v>
      </c>
    </row>
    <row r="80" spans="2:10">
      <c r="B80" s="8" t="s">
        <v>82</v>
      </c>
      <c r="C80" s="12">
        <f>SUM(C77:C79)</f>
        <v>50432.21</v>
      </c>
      <c r="D80" s="12">
        <f>SUM(D77:D79)</f>
        <v>54380.17</v>
      </c>
      <c r="E80" s="12">
        <f>SUM(E77:E79)</f>
        <v>60283.41</v>
      </c>
      <c r="F80" s="12">
        <f>SUM(F77:F79)</f>
        <v>73892.799999999988</v>
      </c>
      <c r="G80" s="12">
        <f>SUM(G77:G79)</f>
        <v>80712.439999999988</v>
      </c>
    </row>
    <row r="81" spans="2:7">
      <c r="B81" t="s">
        <v>84</v>
      </c>
      <c r="C81" s="15"/>
      <c r="D81" s="15"/>
      <c r="E81" s="15">
        <v>0.01</v>
      </c>
      <c r="F81" s="15">
        <v>0.56000000000000005</v>
      </c>
      <c r="G81" s="15"/>
    </row>
    <row r="82" spans="2:7">
      <c r="B82" s="6" t="s">
        <v>65</v>
      </c>
      <c r="C82" s="15"/>
      <c r="D82" s="15"/>
      <c r="E82" s="15"/>
      <c r="F82" s="15"/>
      <c r="G82" s="15"/>
    </row>
    <row r="83" spans="2:7">
      <c r="B83" s="6" t="s">
        <v>66</v>
      </c>
      <c r="C83" s="15"/>
      <c r="D83" s="15"/>
      <c r="E83" s="15"/>
      <c r="F83" s="15"/>
      <c r="G83" s="15"/>
    </row>
    <row r="84" spans="2:7">
      <c r="B84" s="6" t="s">
        <v>67</v>
      </c>
      <c r="C84" s="15"/>
      <c r="D84" s="15"/>
      <c r="E84" s="15"/>
      <c r="F84" s="15"/>
      <c r="G84" s="15"/>
    </row>
    <row r="85" spans="2:7">
      <c r="B85" t="s">
        <v>68</v>
      </c>
      <c r="C85" s="13">
        <v>5303</v>
      </c>
      <c r="D85" s="13">
        <v>5356.41</v>
      </c>
      <c r="E85" s="13">
        <v>5307.78</v>
      </c>
      <c r="F85" s="13">
        <v>15780.77</v>
      </c>
      <c r="G85" s="13">
        <v>15018.82</v>
      </c>
    </row>
    <row r="86" spans="2:7">
      <c r="B86" t="s">
        <v>69</v>
      </c>
      <c r="C86" s="13">
        <v>978.2</v>
      </c>
      <c r="D86" s="13">
        <v>1010.65</v>
      </c>
      <c r="E86" s="13">
        <v>942.11</v>
      </c>
      <c r="F86" s="13">
        <v>868.21</v>
      </c>
      <c r="G86" s="13">
        <v>751.72</v>
      </c>
    </row>
    <row r="87" spans="2:7">
      <c r="B87" t="s">
        <v>70</v>
      </c>
      <c r="C87" s="13">
        <v>303.48</v>
      </c>
      <c r="D87" s="13">
        <v>319.83999999999997</v>
      </c>
      <c r="E87" s="13">
        <v>240.86</v>
      </c>
      <c r="F87" s="13">
        <v>287.82</v>
      </c>
      <c r="G87" s="13">
        <v>236.35</v>
      </c>
    </row>
    <row r="88" spans="2:7">
      <c r="C88" s="13"/>
      <c r="D88" s="13"/>
      <c r="E88" s="13"/>
      <c r="F88" s="13"/>
      <c r="G88" s="13"/>
    </row>
    <row r="89" spans="2:7">
      <c r="B89" t="s">
        <v>71</v>
      </c>
      <c r="C89" s="13">
        <v>617.84</v>
      </c>
      <c r="D89" s="13">
        <v>624.21</v>
      </c>
      <c r="E89" s="13">
        <v>670.57</v>
      </c>
      <c r="F89" s="13">
        <v>892.09</v>
      </c>
      <c r="G89" s="13">
        <v>934.96</v>
      </c>
    </row>
    <row r="90" spans="2:7">
      <c r="B90" t="s">
        <v>72</v>
      </c>
      <c r="C90" s="13">
        <v>6033.24</v>
      </c>
      <c r="D90" s="13">
        <v>6260.11</v>
      </c>
      <c r="E90" s="13">
        <v>6447.78</v>
      </c>
      <c r="F90" s="13">
        <v>9579.44</v>
      </c>
      <c r="G90" s="13">
        <v>9890.06</v>
      </c>
    </row>
    <row r="91" spans="2:7">
      <c r="B91" t="s">
        <v>73</v>
      </c>
      <c r="C91" s="13">
        <v>4.63</v>
      </c>
      <c r="D91" s="13">
        <v>3.78</v>
      </c>
      <c r="E91" s="13">
        <v>3.53</v>
      </c>
      <c r="F91" s="13">
        <v>30.49</v>
      </c>
      <c r="G91" s="13"/>
    </row>
    <row r="92" spans="2:7">
      <c r="B92" s="8" t="s">
        <v>74</v>
      </c>
      <c r="C92" s="12">
        <f>SUM(C85:C91)</f>
        <v>13240.39</v>
      </c>
      <c r="D92" s="12">
        <f>SUM(D85:D91)</f>
        <v>13575</v>
      </c>
      <c r="E92" s="12">
        <f>SUM(E85:E91)</f>
        <v>13612.63</v>
      </c>
      <c r="F92" s="12">
        <f>SUM(F85:F91)</f>
        <v>27438.820000000003</v>
      </c>
      <c r="G92" s="12">
        <f>SUM(G85:G91)</f>
        <v>26831.909999999996</v>
      </c>
    </row>
    <row r="93" spans="2:7">
      <c r="B93" s="6" t="s">
        <v>75</v>
      </c>
      <c r="C93" s="15"/>
      <c r="D93" s="15"/>
      <c r="E93" s="15"/>
      <c r="F93" s="15"/>
      <c r="G93" s="15"/>
    </row>
    <row r="94" spans="2:7">
      <c r="B94" s="6" t="s">
        <v>67</v>
      </c>
      <c r="C94" s="15"/>
      <c r="D94" s="15"/>
      <c r="E94" s="15"/>
      <c r="F94" s="15"/>
      <c r="G94" s="15"/>
    </row>
    <row r="95" spans="2:7">
      <c r="B95" t="s">
        <v>68</v>
      </c>
      <c r="C95" s="13">
        <v>4899.84</v>
      </c>
      <c r="D95" s="13">
        <v>4544.37</v>
      </c>
      <c r="E95" s="13">
        <v>4990.6099999999997</v>
      </c>
      <c r="F95" s="13">
        <v>7250.22</v>
      </c>
      <c r="G95" s="13">
        <v>7761.84</v>
      </c>
    </row>
    <row r="96" spans="2:7">
      <c r="B96" t="s">
        <v>69</v>
      </c>
      <c r="C96" s="13">
        <v>117.76</v>
      </c>
      <c r="D96" s="13">
        <v>146.31</v>
      </c>
      <c r="E96" s="13">
        <v>162.44999999999999</v>
      </c>
      <c r="F96" s="13">
        <v>202.98</v>
      </c>
      <c r="G96" s="13">
        <v>222.71</v>
      </c>
    </row>
    <row r="97" spans="1:7">
      <c r="B97" t="s">
        <v>76</v>
      </c>
      <c r="C97" s="13"/>
      <c r="D97" s="13"/>
      <c r="E97" s="13"/>
      <c r="F97" s="13"/>
      <c r="G97" s="13"/>
    </row>
    <row r="98" spans="1:7">
      <c r="B98" t="s">
        <v>77</v>
      </c>
      <c r="C98" s="13">
        <v>124.47</v>
      </c>
      <c r="D98" s="13">
        <v>183.4</v>
      </c>
      <c r="E98" s="13">
        <v>254.19</v>
      </c>
      <c r="F98" s="13">
        <v>272.52</v>
      </c>
      <c r="G98" s="13">
        <v>518.62</v>
      </c>
    </row>
    <row r="99" spans="1:7">
      <c r="B99" t="s">
        <v>83</v>
      </c>
      <c r="C99" s="13">
        <v>5738.36</v>
      </c>
      <c r="D99" s="13">
        <v>7025.9</v>
      </c>
      <c r="E99" s="13">
        <v>8224.14</v>
      </c>
      <c r="F99" s="13">
        <v>9054.9599999999991</v>
      </c>
      <c r="G99" s="13">
        <v>9718.09</v>
      </c>
    </row>
    <row r="100" spans="1:7">
      <c r="C100" s="13"/>
      <c r="D100" s="13"/>
      <c r="E100" s="13"/>
      <c r="F100" s="13"/>
      <c r="G100" s="13"/>
    </row>
    <row r="101" spans="1:7">
      <c r="B101" t="s">
        <v>70</v>
      </c>
      <c r="C101" s="13">
        <v>3608.55</v>
      </c>
      <c r="D101" s="13">
        <v>4783.5600000000004</v>
      </c>
      <c r="E101" s="13">
        <v>5326.92</v>
      </c>
      <c r="F101" s="13">
        <v>6552.32</v>
      </c>
      <c r="G101" s="13">
        <v>6510.58</v>
      </c>
    </row>
    <row r="102" spans="1:7">
      <c r="C102" s="13"/>
      <c r="D102" s="13"/>
      <c r="E102" s="13"/>
      <c r="F102" s="13"/>
      <c r="G102" s="13"/>
    </row>
    <row r="103" spans="1:7">
      <c r="B103" t="s">
        <v>78</v>
      </c>
      <c r="C103" s="13">
        <v>4890.9399999999996</v>
      </c>
      <c r="D103" s="13">
        <v>5177.3999999999996</v>
      </c>
      <c r="E103" s="13">
        <v>5706.68</v>
      </c>
      <c r="F103" s="13">
        <v>6692.18</v>
      </c>
      <c r="G103" s="13">
        <v>6311.87</v>
      </c>
    </row>
    <row r="104" spans="1:7">
      <c r="B104" t="s">
        <v>71</v>
      </c>
      <c r="C104" s="13">
        <v>247.98</v>
      </c>
      <c r="D104" s="13">
        <v>204.43</v>
      </c>
      <c r="E104" s="13">
        <v>257.5</v>
      </c>
      <c r="F104" s="13">
        <v>350.21</v>
      </c>
      <c r="G104" s="13">
        <v>354.84</v>
      </c>
    </row>
    <row r="105" spans="1:7">
      <c r="B105" t="s">
        <v>79</v>
      </c>
      <c r="C105" s="13">
        <v>527.29</v>
      </c>
      <c r="D105" s="13">
        <v>1366.42</v>
      </c>
      <c r="E105" s="13">
        <v>1983.47</v>
      </c>
      <c r="F105" s="13">
        <v>1989.58</v>
      </c>
      <c r="G105" s="13">
        <v>2433.15</v>
      </c>
    </row>
    <row r="106" spans="1:7">
      <c r="B106" s="8" t="s">
        <v>80</v>
      </c>
      <c r="C106" s="12">
        <f>SUM(C95:C105)</f>
        <v>20155.189999999999</v>
      </c>
      <c r="D106" s="12">
        <f>SUM(D95:D105)</f>
        <v>23431.79</v>
      </c>
      <c r="E106" s="12">
        <f>SUM(E95:E105)</f>
        <v>26905.96</v>
      </c>
      <c r="F106" s="12">
        <f>SUM(F95:F105)</f>
        <v>32364.97</v>
      </c>
      <c r="G106" s="12">
        <f>SUM(G95:G105)</f>
        <v>33831.700000000004</v>
      </c>
    </row>
    <row r="107" spans="1:7" ht="15" thickBot="1">
      <c r="B107" s="11" t="s">
        <v>81</v>
      </c>
      <c r="C107" s="16">
        <f>SUM(C80,C81,C92,C106)</f>
        <v>83827.789999999994</v>
      </c>
      <c r="D107" s="75">
        <f>SUM(D80,D81,D92,D106)</f>
        <v>91386.959999999992</v>
      </c>
      <c r="E107" s="75">
        <f>SUM(E80,E81,E92,E106)</f>
        <v>100802.01000000001</v>
      </c>
      <c r="F107" s="75">
        <f>SUM(F80,F81,F92,F106)</f>
        <v>133697.15</v>
      </c>
      <c r="G107" s="75">
        <f>SUM(G80,G81,G92,G106)</f>
        <v>141376.04999999999</v>
      </c>
    </row>
    <row r="109" spans="1:7">
      <c r="A109" s="3" t="s">
        <v>2</v>
      </c>
      <c r="B109" s="4" t="s">
        <v>85</v>
      </c>
      <c r="C109" s="4">
        <v>2022</v>
      </c>
      <c r="D109" s="4">
        <f>C109+1</f>
        <v>2023</v>
      </c>
      <c r="E109" s="4">
        <f>D109+1</f>
        <v>2024</v>
      </c>
      <c r="F109" s="4">
        <f>E109+1</f>
        <v>2025</v>
      </c>
      <c r="G109" s="4">
        <f>F109+1</f>
        <v>2026</v>
      </c>
    </row>
    <row r="111" spans="1:7">
      <c r="B111" s="6" t="s">
        <v>86</v>
      </c>
    </row>
    <row r="112" spans="1:7">
      <c r="B112" s="6" t="s">
        <v>87</v>
      </c>
      <c r="C112" s="22">
        <v>8364.4</v>
      </c>
      <c r="D112" s="22">
        <v>7416.25</v>
      </c>
      <c r="E112" s="22">
        <v>9422.2199999999993</v>
      </c>
      <c r="F112" s="22">
        <v>7528.13</v>
      </c>
      <c r="G112" s="22">
        <v>10927.19</v>
      </c>
    </row>
    <row r="113" spans="2:7">
      <c r="B113" s="6" t="s">
        <v>88</v>
      </c>
      <c r="C113" s="22"/>
      <c r="D113" s="22"/>
      <c r="E113" s="22"/>
      <c r="F113" s="22"/>
      <c r="G113" s="22"/>
    </row>
    <row r="114" spans="2:7">
      <c r="B114" t="s">
        <v>89</v>
      </c>
      <c r="C114" s="22">
        <v>2714.75</v>
      </c>
      <c r="D114" s="22">
        <v>2887.99</v>
      </c>
      <c r="E114" s="22">
        <v>3145.3</v>
      </c>
      <c r="F114" s="22">
        <v>4014.95</v>
      </c>
      <c r="G114" s="22">
        <v>4644.46</v>
      </c>
    </row>
    <row r="115" spans="2:7">
      <c r="B115" t="s">
        <v>90</v>
      </c>
      <c r="C115" s="22">
        <v>-102.43</v>
      </c>
      <c r="D115" s="22">
        <v>-66.25</v>
      </c>
      <c r="E115" s="22">
        <v>-206.06</v>
      </c>
      <c r="F115" s="22">
        <v>-111.91</v>
      </c>
      <c r="G115" s="22">
        <v>-63.54</v>
      </c>
    </row>
    <row r="116" spans="2:7">
      <c r="B116" t="s">
        <v>91</v>
      </c>
      <c r="C116" s="22">
        <v>-74.44</v>
      </c>
      <c r="D116" s="22">
        <v>-50.26</v>
      </c>
      <c r="E116" s="22">
        <v>-13.42</v>
      </c>
      <c r="F116" s="22">
        <v>-48.5</v>
      </c>
      <c r="G116" s="22">
        <v>-44.36</v>
      </c>
    </row>
    <row r="117" spans="2:7">
      <c r="B117" t="s">
        <v>92</v>
      </c>
      <c r="C117" s="22">
        <v>-54.28</v>
      </c>
      <c r="D117" s="22">
        <v>-70.16</v>
      </c>
      <c r="E117" s="22">
        <v>15.05</v>
      </c>
      <c r="F117" s="22">
        <v>58.29</v>
      </c>
      <c r="G117" s="22">
        <v>-50.41</v>
      </c>
    </row>
    <row r="118" spans="2:7">
      <c r="B118" t="s">
        <v>93</v>
      </c>
      <c r="C118" s="22">
        <v>-1.7</v>
      </c>
      <c r="D118" s="22">
        <v>-4.03</v>
      </c>
      <c r="E118" s="22">
        <v>-22.01</v>
      </c>
      <c r="F118" s="22">
        <v>10.57</v>
      </c>
      <c r="G118" s="22">
        <v>15.83</v>
      </c>
    </row>
    <row r="119" spans="2:7">
      <c r="B119" t="s">
        <v>94</v>
      </c>
      <c r="C119" s="22"/>
      <c r="D119" s="22"/>
      <c r="E119" s="22">
        <v>2.5</v>
      </c>
      <c r="F119" s="22"/>
      <c r="G119" s="22">
        <v>50.07</v>
      </c>
    </row>
    <row r="120" spans="2:7">
      <c r="B120" t="s">
        <v>95</v>
      </c>
      <c r="C120" s="22">
        <v>24.02</v>
      </c>
      <c r="D120" s="22">
        <v>35.58</v>
      </c>
      <c r="E120" s="22">
        <v>43.06</v>
      </c>
      <c r="F120" s="22">
        <v>51.56</v>
      </c>
      <c r="G120" s="22">
        <v>51.96</v>
      </c>
    </row>
    <row r="121" spans="2:7">
      <c r="B121" t="s">
        <v>96</v>
      </c>
      <c r="C121" s="22">
        <v>-9.39</v>
      </c>
      <c r="D121" s="22">
        <v>3.5</v>
      </c>
      <c r="E121" s="22">
        <v>22.65</v>
      </c>
      <c r="F121" s="22">
        <v>46.86</v>
      </c>
      <c r="G121" s="22">
        <v>4.8</v>
      </c>
    </row>
    <row r="122" spans="2:7">
      <c r="B122" t="s">
        <v>97</v>
      </c>
      <c r="C122" s="22">
        <v>3.85</v>
      </c>
      <c r="D122" s="22">
        <v>1.1499999999999999</v>
      </c>
      <c r="E122" s="22">
        <v>2.0499999999999998</v>
      </c>
      <c r="F122" s="22">
        <v>1.22</v>
      </c>
      <c r="G122" s="22">
        <v>9.4700000000000006</v>
      </c>
    </row>
    <row r="123" spans="2:7">
      <c r="B123" t="s">
        <v>98</v>
      </c>
      <c r="C123" s="22">
        <v>-145.03</v>
      </c>
      <c r="D123" s="22">
        <v>-142.56</v>
      </c>
      <c r="E123" s="22">
        <v>-82.76</v>
      </c>
      <c r="F123" s="22">
        <v>-61.14</v>
      </c>
      <c r="G123" s="22">
        <v>-181.65</v>
      </c>
    </row>
    <row r="124" spans="2:7">
      <c r="B124" t="s">
        <v>99</v>
      </c>
      <c r="C124" s="22"/>
      <c r="D124" s="22"/>
      <c r="E124" s="22">
        <v>72</v>
      </c>
      <c r="F124" s="22">
        <v>88.08</v>
      </c>
      <c r="G124" s="22"/>
    </row>
    <row r="125" spans="2:7">
      <c r="B125" t="s">
        <v>100</v>
      </c>
      <c r="C125" s="22">
        <v>-163.69999999999999</v>
      </c>
      <c r="D125" s="22">
        <v>-272.45</v>
      </c>
      <c r="E125" s="22">
        <v>-240.91</v>
      </c>
      <c r="F125" s="22">
        <v>-293.16000000000003</v>
      </c>
      <c r="G125" s="22">
        <v>-261.44</v>
      </c>
    </row>
    <row r="126" spans="2:7">
      <c r="B126" t="s">
        <v>12</v>
      </c>
      <c r="C126" s="22">
        <v>944.71</v>
      </c>
      <c r="D126" s="22">
        <v>822.72</v>
      </c>
      <c r="E126" s="22">
        <v>968</v>
      </c>
      <c r="F126" s="22">
        <v>1650.54</v>
      </c>
      <c r="G126" s="22">
        <v>1871.71</v>
      </c>
    </row>
    <row r="127" spans="2:7">
      <c r="B127" t="s">
        <v>101</v>
      </c>
      <c r="C127" s="22">
        <v>-3.22</v>
      </c>
      <c r="D127" s="22">
        <v>-0.34</v>
      </c>
      <c r="E127" s="22">
        <v>-0.67</v>
      </c>
      <c r="F127" s="22">
        <v>-56.38</v>
      </c>
      <c r="G127" s="22">
        <v>-40.85</v>
      </c>
    </row>
    <row r="128" spans="2:7">
      <c r="B128" t="s">
        <v>102</v>
      </c>
      <c r="C128" s="22">
        <v>-186.39</v>
      </c>
      <c r="D128" s="22">
        <v>-31.37</v>
      </c>
      <c r="E128" s="22">
        <v>-97.89</v>
      </c>
      <c r="F128" s="22">
        <v>-233.98</v>
      </c>
      <c r="G128" s="22">
        <v>-83.52</v>
      </c>
    </row>
    <row r="129" spans="2:7">
      <c r="C129" s="22"/>
      <c r="D129" s="22"/>
      <c r="E129" s="22"/>
      <c r="F129" s="22"/>
      <c r="G129" s="22"/>
    </row>
    <row r="130" spans="2:7">
      <c r="B130" s="6" t="s">
        <v>103</v>
      </c>
      <c r="C130" s="22"/>
      <c r="D130" s="22"/>
      <c r="E130" s="22"/>
      <c r="F130" s="22"/>
      <c r="G130" s="22"/>
    </row>
    <row r="131" spans="2:7">
      <c r="B131" t="s">
        <v>104</v>
      </c>
      <c r="C131" s="22">
        <v>2076.9</v>
      </c>
      <c r="D131" s="22">
        <v>1868.6</v>
      </c>
      <c r="E131" s="22">
        <v>1959</v>
      </c>
      <c r="F131" s="22">
        <v>-475.55</v>
      </c>
      <c r="G131" s="22">
        <v>590.28</v>
      </c>
    </row>
    <row r="132" spans="2:7">
      <c r="B132" t="s">
        <v>105</v>
      </c>
      <c r="C132" s="22">
        <v>-1.94</v>
      </c>
      <c r="D132" s="22">
        <v>17.989999999999998</v>
      </c>
      <c r="E132" s="22">
        <v>-29.39</v>
      </c>
      <c r="F132" s="22">
        <v>-33.770000000000003</v>
      </c>
      <c r="G132" s="22">
        <v>112.37</v>
      </c>
    </row>
    <row r="133" spans="2:7">
      <c r="B133" t="s">
        <v>106</v>
      </c>
      <c r="C133" s="22">
        <v>-495.26</v>
      </c>
      <c r="D133" s="22">
        <v>-752.33</v>
      </c>
      <c r="E133" s="22">
        <v>-420.96</v>
      </c>
      <c r="F133" s="22">
        <v>-607.54</v>
      </c>
      <c r="G133" s="22">
        <v>-27.6</v>
      </c>
    </row>
    <row r="134" spans="2:7">
      <c r="B134" t="s">
        <v>107</v>
      </c>
      <c r="C134" s="22">
        <v>-1578.96</v>
      </c>
      <c r="D134" s="22">
        <v>-991.91</v>
      </c>
      <c r="E134" s="22">
        <v>-1711.53</v>
      </c>
      <c r="F134" s="22">
        <v>-316.93</v>
      </c>
      <c r="G134" s="22">
        <v>-67.92</v>
      </c>
    </row>
    <row r="135" spans="2:7">
      <c r="B135" t="s">
        <v>108</v>
      </c>
      <c r="C135" s="22">
        <v>-473.76</v>
      </c>
      <c r="D135" s="22">
        <v>-479.3</v>
      </c>
      <c r="E135" s="22">
        <v>-278.17</v>
      </c>
      <c r="F135" s="22">
        <v>762.72</v>
      </c>
      <c r="G135" s="22">
        <v>-840.3</v>
      </c>
    </row>
    <row r="136" spans="2:7">
      <c r="B136" s="8" t="s">
        <v>109</v>
      </c>
      <c r="C136" s="12">
        <f>SUM(C112:C135)</f>
        <v>10838.13</v>
      </c>
      <c r="D136" s="12">
        <f>SUM(D112:D135)</f>
        <v>10192.819999999998</v>
      </c>
      <c r="E136" s="12">
        <f>SUM(E112:E135)</f>
        <v>12548.06</v>
      </c>
      <c r="F136" s="12">
        <f>SUM(F112:F135)</f>
        <v>11974.060000000003</v>
      </c>
      <c r="G136" s="12">
        <f>SUM(G112:G135)</f>
        <v>16616.55</v>
      </c>
    </row>
    <row r="137" spans="2:7">
      <c r="B137" s="17" t="s">
        <v>110</v>
      </c>
      <c r="C137" s="27">
        <v>-1554.89</v>
      </c>
      <c r="D137" s="27">
        <v>-1124.31</v>
      </c>
      <c r="E137" s="27">
        <v>-1650.52</v>
      </c>
      <c r="F137" s="27">
        <v>-1300.6300000000001</v>
      </c>
      <c r="G137" s="27">
        <v>-1300.69</v>
      </c>
    </row>
    <row r="138" spans="2:7">
      <c r="B138" s="7" t="s">
        <v>111</v>
      </c>
      <c r="C138" s="25">
        <f>SUM(C136:C137)</f>
        <v>9283.24</v>
      </c>
      <c r="D138" s="25">
        <f>SUM(D136:D137)</f>
        <v>9068.5099999999984</v>
      </c>
      <c r="E138" s="25">
        <f>SUM(E136:E137)</f>
        <v>10897.539999999999</v>
      </c>
      <c r="F138" s="25">
        <f>SUM(F136:F137)</f>
        <v>10673.430000000004</v>
      </c>
      <c r="G138" s="25">
        <f>SUM(G136:G137)</f>
        <v>15315.859999999999</v>
      </c>
    </row>
    <row r="139" spans="2:7">
      <c r="B139" s="6" t="s">
        <v>112</v>
      </c>
      <c r="C139" s="24"/>
      <c r="D139" s="24"/>
      <c r="E139" s="24"/>
      <c r="F139" s="24"/>
      <c r="G139" s="24"/>
    </row>
    <row r="140" spans="2:7">
      <c r="B140" t="s">
        <v>113</v>
      </c>
      <c r="C140" s="22">
        <v>-5613.41</v>
      </c>
      <c r="D140" s="22">
        <v>-6200.11</v>
      </c>
      <c r="E140" s="22">
        <v>-9005.59</v>
      </c>
      <c r="F140" s="22">
        <v>-9129.33</v>
      </c>
      <c r="G140" s="22">
        <v>-9677.77</v>
      </c>
    </row>
    <row r="141" spans="2:7">
      <c r="B141" t="s">
        <v>114</v>
      </c>
      <c r="C141" s="22">
        <v>73.44</v>
      </c>
      <c r="D141" s="22">
        <v>94.53</v>
      </c>
      <c r="E141" s="22">
        <v>121.54</v>
      </c>
      <c r="F141" s="22">
        <v>178.7</v>
      </c>
      <c r="G141" s="22">
        <v>167.16</v>
      </c>
    </row>
    <row r="142" spans="2:7">
      <c r="B142" t="s">
        <v>115</v>
      </c>
      <c r="C142" s="22">
        <v>-66.180000000000007</v>
      </c>
      <c r="D142" s="22"/>
      <c r="E142" s="22"/>
      <c r="F142" s="22"/>
      <c r="G142" s="22">
        <v>-94.98</v>
      </c>
    </row>
    <row r="143" spans="2:7">
      <c r="B143" t="s">
        <v>116</v>
      </c>
      <c r="C143" s="22">
        <v>-1373.53</v>
      </c>
      <c r="D143" s="22">
        <v>529.4</v>
      </c>
      <c r="E143" s="22">
        <v>-425.58</v>
      </c>
      <c r="F143" s="22">
        <v>1142.6199999999999</v>
      </c>
      <c r="G143" s="22">
        <v>-207.12</v>
      </c>
    </row>
    <row r="144" spans="2:7">
      <c r="B144" t="s">
        <v>117</v>
      </c>
      <c r="C144" s="22">
        <v>-6395.45</v>
      </c>
      <c r="D144" s="22">
        <v>-7189.85</v>
      </c>
      <c r="E144" s="22">
        <v>-7203.74</v>
      </c>
      <c r="F144" s="22">
        <v>-15005.74</v>
      </c>
      <c r="G144" s="22">
        <v>-4940.29</v>
      </c>
    </row>
    <row r="145" spans="2:7">
      <c r="B145" t="s">
        <v>118</v>
      </c>
      <c r="C145" s="22">
        <v>13965.44</v>
      </c>
      <c r="D145" s="22">
        <v>6626.26</v>
      </c>
      <c r="E145" s="22">
        <v>7163.67</v>
      </c>
      <c r="F145" s="22">
        <v>17972.72</v>
      </c>
      <c r="G145" s="22">
        <v>4029.12</v>
      </c>
    </row>
    <row r="146" spans="2:7">
      <c r="B146" t="s">
        <v>119</v>
      </c>
      <c r="C146" s="22">
        <v>-35.770000000000003</v>
      </c>
      <c r="D146" s="22">
        <v>37.869999999999997</v>
      </c>
      <c r="E146" s="22">
        <v>0.43</v>
      </c>
      <c r="F146" s="22">
        <v>-612.85</v>
      </c>
      <c r="G146" s="22">
        <v>262</v>
      </c>
    </row>
    <row r="147" spans="2:7">
      <c r="B147" t="s">
        <v>120</v>
      </c>
      <c r="C147" s="22">
        <v>0.33</v>
      </c>
      <c r="D147" s="22">
        <v>-827.95</v>
      </c>
      <c r="E147" s="22">
        <v>-60.37</v>
      </c>
      <c r="F147" s="22">
        <v>-149.37</v>
      </c>
      <c r="G147" s="22">
        <v>-74.92</v>
      </c>
    </row>
    <row r="148" spans="2:7">
      <c r="B148" t="s">
        <v>121</v>
      </c>
      <c r="C148" s="22"/>
      <c r="D148" s="22">
        <v>-19.34</v>
      </c>
      <c r="E148" s="22"/>
      <c r="F148" s="22">
        <v>-10112.85</v>
      </c>
      <c r="G148" s="22">
        <v>-52.73</v>
      </c>
    </row>
    <row r="149" spans="2:7">
      <c r="B149" t="s">
        <v>122</v>
      </c>
      <c r="C149" s="22">
        <v>1553.76</v>
      </c>
      <c r="D149" s="22">
        <v>-453.92</v>
      </c>
      <c r="E149" s="22">
        <v>580.91999999999996</v>
      </c>
      <c r="F149" s="22">
        <v>-288.02999999999997</v>
      </c>
      <c r="G149" s="22">
        <v>176.24</v>
      </c>
    </row>
    <row r="150" spans="2:7">
      <c r="B150" t="s">
        <v>123</v>
      </c>
      <c r="C150" s="22">
        <v>-25.99</v>
      </c>
      <c r="D150" s="22">
        <v>-70.19</v>
      </c>
      <c r="E150" s="22">
        <v>-120.8</v>
      </c>
      <c r="F150" s="22">
        <v>-879.44</v>
      </c>
      <c r="G150" s="22">
        <v>-62.63</v>
      </c>
    </row>
    <row r="151" spans="2:7">
      <c r="B151" t="s">
        <v>124</v>
      </c>
      <c r="C151" s="22"/>
      <c r="D151" s="22">
        <v>3.49</v>
      </c>
      <c r="E151" s="22"/>
      <c r="F151" s="22">
        <v>36.270000000000003</v>
      </c>
      <c r="G151" s="22">
        <v>788.51</v>
      </c>
    </row>
    <row r="152" spans="2:7">
      <c r="B152" t="s">
        <v>125</v>
      </c>
      <c r="C152" s="22"/>
      <c r="D152" s="22"/>
      <c r="E152" s="22">
        <v>0.16</v>
      </c>
      <c r="F152" s="22">
        <v>0.81</v>
      </c>
      <c r="G152" s="22"/>
    </row>
    <row r="153" spans="2:7">
      <c r="B153" t="s">
        <v>126</v>
      </c>
      <c r="C153" s="22">
        <v>174.37</v>
      </c>
      <c r="D153" s="22">
        <v>282.74</v>
      </c>
      <c r="E153" s="22">
        <v>161.24</v>
      </c>
      <c r="F153" s="22">
        <v>342.03</v>
      </c>
      <c r="G153" s="22">
        <v>207.33</v>
      </c>
    </row>
    <row r="154" spans="2:7">
      <c r="B154" s="8" t="s">
        <v>127</v>
      </c>
      <c r="C154" s="12">
        <f>SUM(C140:C153)</f>
        <v>2257.0099999999998</v>
      </c>
      <c r="D154" s="12">
        <f>SUM(D140:D153)</f>
        <v>-7187.0700000000006</v>
      </c>
      <c r="E154" s="12">
        <f>SUM(E140:E153)</f>
        <v>-8788.119999999999</v>
      </c>
      <c r="F154" s="12">
        <f>SUM(F140:F153)</f>
        <v>-16504.46</v>
      </c>
      <c r="G154" s="12">
        <f>SUM(G140:G153)</f>
        <v>-9480.08</v>
      </c>
    </row>
    <row r="155" spans="2:7">
      <c r="B155" s="6" t="s">
        <v>128</v>
      </c>
      <c r="C155" s="24"/>
      <c r="D155" s="24"/>
      <c r="E155" s="24"/>
      <c r="F155" s="24"/>
      <c r="G155" s="24"/>
    </row>
    <row r="156" spans="2:7">
      <c r="B156" t="s">
        <v>129</v>
      </c>
      <c r="C156" s="22">
        <v>4.3600000000000003</v>
      </c>
      <c r="D156" s="22">
        <v>4.7</v>
      </c>
      <c r="E156" s="22">
        <v>1.87</v>
      </c>
      <c r="F156" s="22">
        <v>2</v>
      </c>
      <c r="G156" s="22"/>
    </row>
    <row r="157" spans="2:7">
      <c r="B157" t="s">
        <v>130</v>
      </c>
      <c r="C157" s="22">
        <v>-91.19</v>
      </c>
      <c r="D157" s="22">
        <v>-114.53</v>
      </c>
      <c r="E157" s="22">
        <v>-100.41</v>
      </c>
      <c r="F157" s="22">
        <v>-100.29</v>
      </c>
      <c r="G157" s="22">
        <v>-119.35</v>
      </c>
    </row>
    <row r="158" spans="2:7">
      <c r="B158" t="s">
        <v>131</v>
      </c>
      <c r="C158" s="22">
        <v>8.67</v>
      </c>
      <c r="D158" s="22">
        <v>8.08</v>
      </c>
      <c r="E158" s="22">
        <v>16.079999999999998</v>
      </c>
      <c r="F158" s="22">
        <v>31.31</v>
      </c>
      <c r="G158" s="22">
        <v>50.01</v>
      </c>
    </row>
    <row r="159" spans="2:7">
      <c r="B159" t="s">
        <v>132</v>
      </c>
      <c r="C159" s="22">
        <v>-10345.94</v>
      </c>
      <c r="D159" s="22">
        <v>-578.82000000000005</v>
      </c>
      <c r="E159" s="22">
        <v>-1068.71</v>
      </c>
      <c r="F159" s="22">
        <v>-550.30999999999995</v>
      </c>
      <c r="G159" s="22">
        <v>-1425.74</v>
      </c>
    </row>
    <row r="160" spans="2:7">
      <c r="B160" t="s">
        <v>133</v>
      </c>
      <c r="C160" s="22">
        <v>138.55000000000001</v>
      </c>
      <c r="D160" s="22">
        <v>825.93</v>
      </c>
      <c r="E160" s="22">
        <v>439.63</v>
      </c>
      <c r="F160" s="22">
        <v>7341.32</v>
      </c>
      <c r="G160" s="22">
        <v>203.22</v>
      </c>
    </row>
    <row r="161" spans="2:7">
      <c r="B161" t="s">
        <v>134</v>
      </c>
      <c r="C161" s="22">
        <v>36.29</v>
      </c>
      <c r="D161" s="22">
        <v>205.83</v>
      </c>
      <c r="E161" s="22">
        <v>958.99</v>
      </c>
      <c r="F161" s="22">
        <v>2068.25</v>
      </c>
      <c r="G161" s="22">
        <v>-243.37</v>
      </c>
    </row>
    <row r="162" spans="2:7">
      <c r="B162" t="s">
        <v>135</v>
      </c>
      <c r="C162" s="22">
        <v>-157.49</v>
      </c>
      <c r="D162" s="22">
        <v>-125.98</v>
      </c>
      <c r="E162" s="22">
        <v>-161.99</v>
      </c>
      <c r="F162" s="22">
        <v>-165.1</v>
      </c>
      <c r="G162" s="22">
        <v>-216.53</v>
      </c>
    </row>
    <row r="163" spans="2:7">
      <c r="B163" t="s">
        <v>136</v>
      </c>
      <c r="C163" s="22">
        <v>-65.239999999999995</v>
      </c>
      <c r="D163" s="22">
        <v>-63.38</v>
      </c>
      <c r="E163" s="22">
        <v>-63.22</v>
      </c>
      <c r="F163" s="22">
        <v>-60.78</v>
      </c>
      <c r="G163" s="22">
        <v>-59.76</v>
      </c>
    </row>
    <row r="164" spans="2:7">
      <c r="B164" t="s">
        <v>137</v>
      </c>
      <c r="C164" s="22">
        <v>-960.94</v>
      </c>
      <c r="D164" s="22">
        <v>-701.56</v>
      </c>
      <c r="E164" s="22">
        <v>-853.46</v>
      </c>
      <c r="F164" s="22">
        <v>-1478.99</v>
      </c>
      <c r="G164" s="22">
        <v>-1868.69</v>
      </c>
    </row>
    <row r="165" spans="2:7">
      <c r="B165" t="s">
        <v>138</v>
      </c>
      <c r="C165" s="22">
        <v>-1065</v>
      </c>
      <c r="D165" s="22">
        <v>-1091.27</v>
      </c>
      <c r="E165" s="22">
        <v>-1094.43</v>
      </c>
      <c r="F165" s="22">
        <v>-2011.65</v>
      </c>
      <c r="G165" s="22">
        <v>-2273.36</v>
      </c>
    </row>
    <row r="166" spans="2:7">
      <c r="B166" s="8" t="s">
        <v>139</v>
      </c>
      <c r="C166" s="12">
        <f>SUM(C156:C165)</f>
        <v>-12497.93</v>
      </c>
      <c r="D166" s="12">
        <f>SUM(D156:D165)</f>
        <v>-1631</v>
      </c>
      <c r="E166" s="12">
        <f>SUM(E156:E165)</f>
        <v>-1925.65</v>
      </c>
      <c r="F166" s="12">
        <f>SUM(F156:F165)</f>
        <v>5075.7599999999984</v>
      </c>
      <c r="G166" s="12">
        <f>SUM(G156:G165)</f>
        <v>-5953.57</v>
      </c>
    </row>
    <row r="167" spans="2:7">
      <c r="B167" s="6" t="s">
        <v>140</v>
      </c>
      <c r="C167" s="25">
        <f>C138+C154+C166</f>
        <v>-957.68000000000029</v>
      </c>
      <c r="D167" s="25">
        <f>D138+D154+D166</f>
        <v>250.43999999999778</v>
      </c>
      <c r="E167" s="25">
        <f>E138+E154+E166</f>
        <v>183.76999999999998</v>
      </c>
      <c r="F167" s="25">
        <f>F138+F154+F166</f>
        <v>-755.2699999999968</v>
      </c>
      <c r="G167" s="25">
        <f>G138+G154+G166</f>
        <v>-117.79000000000087</v>
      </c>
    </row>
    <row r="168" spans="2:7">
      <c r="B168" t="s">
        <v>141</v>
      </c>
      <c r="C168" s="13">
        <v>177.21</v>
      </c>
      <c r="D168" s="13">
        <v>120.54</v>
      </c>
      <c r="E168" s="13">
        <v>370.37</v>
      </c>
      <c r="F168" s="13">
        <v>553.58000000000004</v>
      </c>
      <c r="G168" s="13">
        <v>467.21</v>
      </c>
    </row>
    <row r="169" spans="2:7">
      <c r="B169" t="s">
        <v>143</v>
      </c>
      <c r="C169" s="13">
        <f>901.48-0.47</f>
        <v>901.01</v>
      </c>
      <c r="D169" s="13">
        <v>-0.61</v>
      </c>
      <c r="E169" s="13">
        <v>-0.56000000000000005</v>
      </c>
      <c r="F169" s="13">
        <f>1.89+76.76+586.45+3.79</f>
        <v>668.89</v>
      </c>
      <c r="G169" s="13">
        <f>5.06</f>
        <v>5.0599999999999996</v>
      </c>
    </row>
    <row r="170" spans="2:7" ht="15" thickBot="1">
      <c r="B170" s="11" t="s">
        <v>142</v>
      </c>
      <c r="C170" s="16">
        <f>SUM(C167:C169)</f>
        <v>120.53999999999974</v>
      </c>
      <c r="D170" s="16">
        <f>SUM(D167:D169)</f>
        <v>370.36999999999779</v>
      </c>
      <c r="E170" s="16">
        <f>SUM(E167:E169)</f>
        <v>553.58000000000004</v>
      </c>
      <c r="F170" s="16">
        <f>SUM(F167:F169)</f>
        <v>467.20000000000323</v>
      </c>
      <c r="G170" s="16">
        <f>SUM(G167:G169)</f>
        <v>354.47999999999911</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V263"/>
  <sheetViews>
    <sheetView showGridLines="0" topLeftCell="A186" zoomScale="85" zoomScaleNormal="85" workbookViewId="0">
      <selection activeCell="K199" sqref="K199"/>
    </sheetView>
  </sheetViews>
  <sheetFormatPr defaultColWidth="12.6328125" defaultRowHeight="14.5"/>
  <cols>
    <col min="1" max="1" width="1.81640625" customWidth="1"/>
    <col min="2" max="2" width="45.6328125" customWidth="1"/>
  </cols>
  <sheetData>
    <row r="2" spans="1:17" ht="31">
      <c r="B2" s="1" t="str">
        <f>'Data Sheet'!B2</f>
        <v>UltraTech Cement Ltd</v>
      </c>
      <c r="C2" s="4"/>
      <c r="D2" s="4"/>
      <c r="E2" s="4"/>
      <c r="F2" s="4"/>
      <c r="G2" s="4"/>
      <c r="H2" s="4"/>
      <c r="I2" s="4"/>
      <c r="J2" s="4"/>
      <c r="K2" s="4"/>
      <c r="L2" s="4"/>
      <c r="M2" s="4"/>
      <c r="N2" s="4"/>
      <c r="O2" s="4"/>
      <c r="P2" s="4"/>
      <c r="Q2" s="4"/>
    </row>
    <row r="3" spans="1:17" ht="21">
      <c r="B3" s="32" t="s">
        <v>144</v>
      </c>
      <c r="C3" s="68">
        <v>2022</v>
      </c>
      <c r="D3" s="68">
        <f>C3+1</f>
        <v>2023</v>
      </c>
      <c r="E3" s="68">
        <f t="shared" ref="E3:Q3" si="0">D3+1</f>
        <v>2024</v>
      </c>
      <c r="F3" s="68">
        <f t="shared" si="0"/>
        <v>2025</v>
      </c>
      <c r="G3" s="68">
        <f t="shared" si="0"/>
        <v>2026</v>
      </c>
      <c r="H3" s="69">
        <f t="shared" si="0"/>
        <v>2027</v>
      </c>
      <c r="I3" s="69">
        <f t="shared" si="0"/>
        <v>2028</v>
      </c>
      <c r="J3" s="69">
        <f t="shared" si="0"/>
        <v>2029</v>
      </c>
      <c r="K3" s="69">
        <f t="shared" si="0"/>
        <v>2030</v>
      </c>
      <c r="L3" s="69">
        <f t="shared" si="0"/>
        <v>2031</v>
      </c>
      <c r="M3" s="69">
        <f t="shared" si="0"/>
        <v>2032</v>
      </c>
      <c r="N3" s="69">
        <f t="shared" si="0"/>
        <v>2033</v>
      </c>
      <c r="O3" s="69">
        <f t="shared" si="0"/>
        <v>2034</v>
      </c>
      <c r="P3" s="69">
        <f t="shared" si="0"/>
        <v>2035</v>
      </c>
      <c r="Q3" s="69">
        <f t="shared" si="0"/>
        <v>2036</v>
      </c>
    </row>
    <row r="4" spans="1:17">
      <c r="B4" s="36" t="s">
        <v>1</v>
      </c>
    </row>
    <row r="5" spans="1:17" ht="18.5">
      <c r="A5" t="s">
        <v>2</v>
      </c>
      <c r="B5" s="34" t="s">
        <v>3</v>
      </c>
      <c r="C5" s="38"/>
      <c r="D5" s="38"/>
      <c r="E5" s="38"/>
      <c r="F5" s="38"/>
      <c r="G5" s="38"/>
      <c r="H5" s="38"/>
      <c r="I5" s="38"/>
      <c r="J5" s="38"/>
      <c r="K5" s="38"/>
      <c r="L5" s="38"/>
      <c r="M5" s="38"/>
      <c r="N5" s="38"/>
      <c r="O5" s="40"/>
      <c r="P5" s="40"/>
      <c r="Q5" s="38"/>
    </row>
    <row r="7" spans="1:17">
      <c r="B7" t="s">
        <v>145</v>
      </c>
      <c r="C7" s="70">
        <f>'Data Sheet'!C6</f>
        <v>52598.83</v>
      </c>
      <c r="D7" s="70">
        <f>'Data Sheet'!D6</f>
        <v>63239.98</v>
      </c>
      <c r="E7" s="70">
        <f>'Data Sheet'!E6</f>
        <v>70908.14</v>
      </c>
      <c r="F7" s="70">
        <f>'Data Sheet'!F6</f>
        <v>75955.13</v>
      </c>
      <c r="G7" s="70">
        <f>'Data Sheet'!G6</f>
        <v>88511.53</v>
      </c>
      <c r="H7" s="74">
        <f>H150*H152/10</f>
        <v>96919.993371705685</v>
      </c>
      <c r="I7" s="74">
        <f t="shared" ref="I7:Q7" si="1">I150*I152/10</f>
        <v>109578.47419567758</v>
      </c>
      <c r="J7" s="74">
        <f t="shared" si="1"/>
        <v>122445.86280758705</v>
      </c>
      <c r="K7" s="74">
        <f t="shared" si="1"/>
        <v>135019.53175004845</v>
      </c>
      <c r="L7" s="74">
        <f t="shared" si="1"/>
        <v>148150.9418484093</v>
      </c>
      <c r="M7" s="74">
        <f t="shared" si="1"/>
        <v>161849.3693963234</v>
      </c>
      <c r="N7" s="74">
        <f t="shared" si="1"/>
        <v>174026.74306773406</v>
      </c>
      <c r="O7" s="74">
        <f t="shared" si="1"/>
        <v>186487.4327522844</v>
      </c>
      <c r="P7" s="74">
        <f t="shared" si="1"/>
        <v>199228.42791521788</v>
      </c>
      <c r="Q7" s="74">
        <f t="shared" si="1"/>
        <v>212246.01090950356</v>
      </c>
    </row>
    <row r="8" spans="1:17">
      <c r="B8" t="s">
        <v>146</v>
      </c>
      <c r="C8" s="70">
        <f>-SUM('Data Sheet'!C10:C12,'Data Sheet'!C16)</f>
        <v>-20102.25</v>
      </c>
      <c r="D8" s="70">
        <f>-SUM('Data Sheet'!D10:D12,'Data Sheet'!D16)</f>
        <v>-28206.28</v>
      </c>
      <c r="E8" s="70">
        <f>-SUM('Data Sheet'!E10:E12,'Data Sheet'!E16)</f>
        <v>-30186.239999999998</v>
      </c>
      <c r="F8" s="70">
        <f>-SUM('Data Sheet'!F10:F12,'Data Sheet'!F16)</f>
        <v>-32122.880000000001</v>
      </c>
      <c r="G8" s="70">
        <f>-SUM('Data Sheet'!G10:G12,'Data Sheet'!G16)</f>
        <v>-36785.520000000004</v>
      </c>
      <c r="H8" s="74">
        <f>-H150*H156/10</f>
        <v>-40280.08954962984</v>
      </c>
      <c r="I8" s="74">
        <f t="shared" ref="I8:Q8" si="2">-I150*I156/10</f>
        <v>-45540.972504876845</v>
      </c>
      <c r="J8" s="74">
        <f t="shared" si="2"/>
        <v>-50888.677839212018</v>
      </c>
      <c r="K8" s="74">
        <f t="shared" si="2"/>
        <v>-56114.312853727002</v>
      </c>
      <c r="L8" s="74">
        <f t="shared" si="2"/>
        <v>-61571.745900036956</v>
      </c>
      <c r="M8" s="74">
        <f t="shared" si="2"/>
        <v>-67264.832219213044</v>
      </c>
      <c r="N8" s="74">
        <f t="shared" si="2"/>
        <v>-72325.766345390177</v>
      </c>
      <c r="O8" s="74">
        <f t="shared" si="2"/>
        <v>-77504.447016765087</v>
      </c>
      <c r="P8" s="74">
        <f t="shared" si="2"/>
        <v>-82799.623050734823</v>
      </c>
      <c r="Q8" s="74">
        <f t="shared" si="2"/>
        <v>-88209.749387811535</v>
      </c>
    </row>
    <row r="9" spans="1:17">
      <c r="B9" s="35" t="s">
        <v>147</v>
      </c>
      <c r="C9" s="71">
        <f>SUM(C7:C8)</f>
        <v>32496.58</v>
      </c>
      <c r="D9" s="71">
        <f t="shared" ref="D9:Q9" si="3">SUM(D7:D8)</f>
        <v>35033.700000000004</v>
      </c>
      <c r="E9" s="71">
        <f t="shared" si="3"/>
        <v>40721.9</v>
      </c>
      <c r="F9" s="71">
        <f t="shared" si="3"/>
        <v>43832.25</v>
      </c>
      <c r="G9" s="71">
        <f t="shared" si="3"/>
        <v>51726.009999999995</v>
      </c>
      <c r="H9" s="71">
        <f t="shared" si="3"/>
        <v>56639.903822075845</v>
      </c>
      <c r="I9" s="71">
        <f t="shared" si="3"/>
        <v>64037.501690800738</v>
      </c>
      <c r="J9" s="71">
        <f t="shared" si="3"/>
        <v>71557.184968375033</v>
      </c>
      <c r="K9" s="71">
        <f t="shared" si="3"/>
        <v>78905.218896321458</v>
      </c>
      <c r="L9" s="71">
        <f t="shared" si="3"/>
        <v>86579.195948372348</v>
      </c>
      <c r="M9" s="71">
        <f t="shared" si="3"/>
        <v>94584.537177110353</v>
      </c>
      <c r="N9" s="71">
        <f t="shared" si="3"/>
        <v>101700.97672234388</v>
      </c>
      <c r="O9" s="71">
        <f t="shared" si="3"/>
        <v>108982.98573551931</v>
      </c>
      <c r="P9" s="71">
        <f t="shared" si="3"/>
        <v>116428.80486448306</v>
      </c>
      <c r="Q9" s="71">
        <f t="shared" si="3"/>
        <v>124036.26152169202</v>
      </c>
    </row>
    <row r="10" spans="1:17">
      <c r="B10" t="s">
        <v>148</v>
      </c>
      <c r="C10" s="70">
        <f>-'Data Sheet'!C13</f>
        <v>-2534.6799999999998</v>
      </c>
      <c r="D10" s="70">
        <f>-'Data Sheet'!D13</f>
        <v>-2738.97</v>
      </c>
      <c r="E10" s="70">
        <f>-'Data Sheet'!E13</f>
        <v>-3037.58</v>
      </c>
      <c r="F10" s="70">
        <f>-'Data Sheet'!F13</f>
        <v>-3604.59</v>
      </c>
      <c r="G10" s="70">
        <f>-'Data Sheet'!G13</f>
        <v>-4162.4399999999996</v>
      </c>
      <c r="H10" s="74">
        <f>-H158*H150/10</f>
        <v>-4646.367837977311</v>
      </c>
      <c r="I10" s="74">
        <f t="shared" ref="I10:Q10" si="4">-I158*I150/10</f>
        <v>-5355.2227010382512</v>
      </c>
      <c r="J10" s="74">
        <f t="shared" si="4"/>
        <v>-6100.2618506606177</v>
      </c>
      <c r="K10" s="74">
        <f t="shared" si="4"/>
        <v>-6857.2981610969246</v>
      </c>
      <c r="L10" s="74">
        <f t="shared" si="4"/>
        <v>-7670.3101843812528</v>
      </c>
      <c r="M10" s="74">
        <f t="shared" si="4"/>
        <v>-8542.2366001422452</v>
      </c>
      <c r="N10" s="74">
        <f t="shared" si="4"/>
        <v>-9363.293810953528</v>
      </c>
      <c r="O10" s="74">
        <f t="shared" si="4"/>
        <v>-10228.555445351809</v>
      </c>
      <c r="P10" s="74">
        <f t="shared" si="4"/>
        <v>-11139.56201736907</v>
      </c>
      <c r="Q10" s="74">
        <f t="shared" si="4"/>
        <v>-12097.856217116539</v>
      </c>
    </row>
    <row r="11" spans="1:17">
      <c r="B11" t="s">
        <v>149</v>
      </c>
      <c r="C11" s="70">
        <f>-SUM('Data Sheet'!C17:C18)</f>
        <v>-18447.55</v>
      </c>
      <c r="D11" s="70">
        <f>-SUM('Data Sheet'!D17:D18)</f>
        <v>-21674.880000000001</v>
      </c>
      <c r="E11" s="70">
        <f>-SUM('Data Sheet'!E17:E18)</f>
        <v>-24715.760000000002</v>
      </c>
      <c r="F11" s="70">
        <f>-SUM('Data Sheet'!F17:F18)</f>
        <v>-27670.21</v>
      </c>
      <c r="G11" s="70">
        <f>-SUM('Data Sheet'!G17:G18)</f>
        <v>-30543.34</v>
      </c>
      <c r="H11" s="74">
        <f>-H150*H160/10</f>
        <v>-33444.911757256414</v>
      </c>
      <c r="I11" s="74">
        <f t="shared" ref="I11:Q11" si="5">-I150*I160/10</f>
        <v>-37813.069032247062</v>
      </c>
      <c r="J11" s="74">
        <f t="shared" si="5"/>
        <v>-42253.315690345487</v>
      </c>
      <c r="K11" s="74">
        <f t="shared" si="5"/>
        <v>-46592.206290892551</v>
      </c>
      <c r="L11" s="74">
        <f t="shared" si="5"/>
        <v>-51123.560830958333</v>
      </c>
      <c r="M11" s="74">
        <f t="shared" si="5"/>
        <v>-55850.580351028839</v>
      </c>
      <c r="N11" s="74">
        <f t="shared" si="5"/>
        <v>-60052.718358957776</v>
      </c>
      <c r="O11" s="74">
        <f t="shared" si="5"/>
        <v>-64352.622356433749</v>
      </c>
      <c r="P11" s="74">
        <f t="shared" si="5"/>
        <v>-68749.253475564037</v>
      </c>
      <c r="Q11" s="74">
        <f t="shared" si="5"/>
        <v>-73241.328839900001</v>
      </c>
    </row>
    <row r="12" spans="1:17">
      <c r="B12" s="35" t="s">
        <v>150</v>
      </c>
      <c r="C12" s="71">
        <f t="shared" ref="C12:H12" si="6">SUM(C9:C11)</f>
        <v>11514.350000000002</v>
      </c>
      <c r="D12" s="71">
        <f t="shared" si="6"/>
        <v>10619.850000000002</v>
      </c>
      <c r="E12" s="71">
        <f t="shared" si="6"/>
        <v>12968.559999999998</v>
      </c>
      <c r="F12" s="71">
        <f t="shared" si="6"/>
        <v>12557.450000000004</v>
      </c>
      <c r="G12" s="71">
        <f t="shared" si="6"/>
        <v>17020.229999999992</v>
      </c>
      <c r="H12" s="71">
        <f t="shared" si="6"/>
        <v>18548.624226842119</v>
      </c>
      <c r="I12" s="71">
        <f t="shared" ref="I12:Q12" si="7">SUM(I9:I11)</f>
        <v>20869.209957515428</v>
      </c>
      <c r="J12" s="71">
        <f t="shared" si="7"/>
        <v>23203.60742736893</v>
      </c>
      <c r="K12" s="71">
        <f t="shared" si="7"/>
        <v>25455.714444331978</v>
      </c>
      <c r="L12" s="71">
        <f t="shared" si="7"/>
        <v>27785.324933032767</v>
      </c>
      <c r="M12" s="71">
        <f t="shared" si="7"/>
        <v>30191.720225939265</v>
      </c>
      <c r="N12" s="71">
        <f t="shared" si="7"/>
        <v>32284.964552432575</v>
      </c>
      <c r="O12" s="71">
        <f t="shared" si="7"/>
        <v>34401.807933733748</v>
      </c>
      <c r="P12" s="71">
        <f t="shared" si="7"/>
        <v>36539.989371549949</v>
      </c>
      <c r="Q12" s="71">
        <f t="shared" si="7"/>
        <v>38697.076464675483</v>
      </c>
    </row>
    <row r="13" spans="1:17">
      <c r="B13" t="s">
        <v>151</v>
      </c>
      <c r="C13" s="70">
        <f>-'Data Sheet'!C15</f>
        <v>-2714.75</v>
      </c>
      <c r="D13" s="70">
        <f>-'Data Sheet'!D15</f>
        <v>-2887.99</v>
      </c>
      <c r="E13" s="70">
        <f>-'Data Sheet'!E15</f>
        <v>-3145.3</v>
      </c>
      <c r="F13" s="70">
        <f>-'Data Sheet'!F15</f>
        <v>-4014.95</v>
      </c>
      <c r="G13" s="70">
        <f>-'Data Sheet'!G15</f>
        <v>-4644.46</v>
      </c>
      <c r="H13" s="74">
        <f>H120</f>
        <v>-4993.1558558242195</v>
      </c>
      <c r="I13" s="74">
        <f t="shared" ref="I13:Q13" si="8">I120</f>
        <v>-5269.7480046898536</v>
      </c>
      <c r="J13" s="74">
        <f t="shared" si="8"/>
        <v>-5558.4535350231254</v>
      </c>
      <c r="K13" s="74">
        <f t="shared" si="8"/>
        <v>-5743.7644679734713</v>
      </c>
      <c r="L13" s="74">
        <f t="shared" si="8"/>
        <v>-5943.5528354046073</v>
      </c>
      <c r="M13" s="74">
        <f t="shared" si="8"/>
        <v>-6130.7341547206688</v>
      </c>
      <c r="N13" s="74">
        <f t="shared" si="8"/>
        <v>-6333.3861272075828</v>
      </c>
      <c r="O13" s="74">
        <f t="shared" si="8"/>
        <v>-6520.380712098131</v>
      </c>
      <c r="P13" s="74">
        <f t="shared" si="8"/>
        <v>-6721.2519930417402</v>
      </c>
      <c r="Q13" s="74">
        <f t="shared" si="8"/>
        <v>-6905.2107419270251</v>
      </c>
    </row>
    <row r="14" spans="1:17">
      <c r="B14" s="35" t="s">
        <v>152</v>
      </c>
      <c r="C14" s="71">
        <f>SUM(C12:C13)</f>
        <v>8799.6000000000022</v>
      </c>
      <c r="D14" s="71">
        <f t="shared" ref="D14:Q14" si="9">SUM(D12:D13)</f>
        <v>7731.8600000000024</v>
      </c>
      <c r="E14" s="71">
        <f t="shared" si="9"/>
        <v>9823.2599999999984</v>
      </c>
      <c r="F14" s="71">
        <f t="shared" si="9"/>
        <v>8542.5000000000036</v>
      </c>
      <c r="G14" s="71">
        <f t="shared" si="9"/>
        <v>12375.769999999993</v>
      </c>
      <c r="H14" s="71">
        <f t="shared" si="9"/>
        <v>13555.4683710179</v>
      </c>
      <c r="I14" s="71">
        <f t="shared" si="9"/>
        <v>15599.461952825575</v>
      </c>
      <c r="J14" s="71">
        <f t="shared" si="9"/>
        <v>17645.153892345807</v>
      </c>
      <c r="K14" s="71">
        <f t="shared" si="9"/>
        <v>19711.949976358505</v>
      </c>
      <c r="L14" s="71">
        <f t="shared" si="9"/>
        <v>21841.77209762816</v>
      </c>
      <c r="M14" s="71">
        <f t="shared" si="9"/>
        <v>24060.986071218598</v>
      </c>
      <c r="N14" s="71">
        <f t="shared" si="9"/>
        <v>25951.578425224994</v>
      </c>
      <c r="O14" s="71">
        <f t="shared" si="9"/>
        <v>27881.427221635618</v>
      </c>
      <c r="P14" s="71">
        <f t="shared" si="9"/>
        <v>29818.737378508209</v>
      </c>
      <c r="Q14" s="71">
        <f t="shared" si="9"/>
        <v>31791.865722748458</v>
      </c>
    </row>
    <row r="15" spans="1:17">
      <c r="B15" t="s">
        <v>153</v>
      </c>
      <c r="C15" s="70">
        <f>-'Data Sheet'!C14</f>
        <v>-944.71</v>
      </c>
      <c r="D15" s="70">
        <f>-'Data Sheet'!D14</f>
        <v>-822.72</v>
      </c>
      <c r="E15" s="70">
        <f>-'Data Sheet'!E14</f>
        <v>-968</v>
      </c>
      <c r="F15" s="70">
        <f>-'Data Sheet'!F14</f>
        <v>-1650.54</v>
      </c>
      <c r="G15" s="70">
        <f>-'Data Sheet'!G14</f>
        <v>-1871.71</v>
      </c>
      <c r="H15" s="74">
        <f>H127</f>
        <v>-1858.1352218335894</v>
      </c>
      <c r="I15" s="74">
        <f t="shared" ref="I15:Q15" si="10">I127</f>
        <v>-1858.1352218335894</v>
      </c>
      <c r="J15" s="74">
        <f t="shared" si="10"/>
        <v>-1779.9147132253884</v>
      </c>
      <c r="K15" s="74">
        <f t="shared" si="10"/>
        <v>-1584.3634417048859</v>
      </c>
      <c r="L15" s="74">
        <f t="shared" si="10"/>
        <v>-1388.8121701843834</v>
      </c>
      <c r="M15" s="74">
        <f t="shared" si="10"/>
        <v>-1193.2608986638809</v>
      </c>
      <c r="N15" s="74">
        <f t="shared" si="10"/>
        <v>-997.70962714337838</v>
      </c>
      <c r="O15" s="74">
        <f t="shared" si="10"/>
        <v>-841.2686099269763</v>
      </c>
      <c r="P15" s="74">
        <f t="shared" si="10"/>
        <v>-684.82759271057432</v>
      </c>
      <c r="Q15" s="74">
        <f t="shared" si="10"/>
        <v>-567.49682979827276</v>
      </c>
    </row>
    <row r="16" spans="1:17">
      <c r="B16" t="s">
        <v>5</v>
      </c>
      <c r="C16" s="70">
        <f>'Data Sheet'!C7+'Data Sheet'!C27-SUM('Data Sheet'!C23:C25)</f>
        <v>509.51</v>
      </c>
      <c r="D16" s="70">
        <f>'Data Sheet'!D7+'Data Sheet'!D27-SUM('Data Sheet'!D23:D25)</f>
        <v>507.10999999999996</v>
      </c>
      <c r="E16" s="70">
        <f>'Data Sheet'!E7+'Data Sheet'!E27-SUM('Data Sheet'!E23:E25)</f>
        <v>566.96</v>
      </c>
      <c r="F16" s="70">
        <f>'Data Sheet'!F7+'Data Sheet'!F27-SUM('Data Sheet'!F23:F25)</f>
        <v>636.16999999999996</v>
      </c>
      <c r="G16" s="70">
        <f>'Data Sheet'!G7+'Data Sheet'!G27-SUM('Data Sheet'!G23:G25)</f>
        <v>423.12999999999994</v>
      </c>
      <c r="H16" s="74">
        <f>H7*H33</f>
        <v>463.32671907682339</v>
      </c>
      <c r="I16" s="74">
        <f t="shared" ref="I16:Q16" si="11">I7*I33</f>
        <v>523.84067687471963</v>
      </c>
      <c r="J16" s="74">
        <f t="shared" si="11"/>
        <v>585.35331984176867</v>
      </c>
      <c r="K16" s="74">
        <f t="shared" si="11"/>
        <v>645.46183383563698</v>
      </c>
      <c r="L16" s="74">
        <f t="shared" si="11"/>
        <v>708.23663340038775</v>
      </c>
      <c r="M16" s="74">
        <f t="shared" si="11"/>
        <v>773.72206392394662</v>
      </c>
      <c r="N16" s="74">
        <f t="shared" si="11"/>
        <v>831.93608555010076</v>
      </c>
      <c r="O16" s="74">
        <f t="shared" si="11"/>
        <v>891.50450139630505</v>
      </c>
      <c r="P16" s="74">
        <f t="shared" si="11"/>
        <v>952.41291957969929</v>
      </c>
      <c r="Q16" s="74">
        <f t="shared" si="11"/>
        <v>1014.6435678621558</v>
      </c>
    </row>
    <row r="17" spans="1:17">
      <c r="B17" s="35" t="s">
        <v>154</v>
      </c>
      <c r="C17" s="71">
        <f>SUM(C14:C16)</f>
        <v>8364.4000000000015</v>
      </c>
      <c r="D17" s="71">
        <f>SUM(D14:D16)</f>
        <v>7416.2500000000018</v>
      </c>
      <c r="E17" s="71">
        <f>SUM(E14:E16)</f>
        <v>9422.2199999999975</v>
      </c>
      <c r="F17" s="71">
        <f>SUM(F14:F16)</f>
        <v>7528.1300000000037</v>
      </c>
      <c r="G17" s="71">
        <f>SUM(G14:G16)</f>
        <v>10927.189999999993</v>
      </c>
      <c r="H17" s="71">
        <f t="shared" ref="H17:Q17" si="12">SUM(H14:H16)</f>
        <v>12160.659868261135</v>
      </c>
      <c r="I17" s="71">
        <f t="shared" si="12"/>
        <v>14265.167407866706</v>
      </c>
      <c r="J17" s="71">
        <f t="shared" si="12"/>
        <v>16450.592498962185</v>
      </c>
      <c r="K17" s="71">
        <f t="shared" si="12"/>
        <v>18773.048368489257</v>
      </c>
      <c r="L17" s="71">
        <f t="shared" si="12"/>
        <v>21161.196560844164</v>
      </c>
      <c r="M17" s="71">
        <f t="shared" si="12"/>
        <v>23641.447236478663</v>
      </c>
      <c r="N17" s="71">
        <f t="shared" si="12"/>
        <v>25785.804883631718</v>
      </c>
      <c r="O17" s="71">
        <f t="shared" si="12"/>
        <v>27931.663113104947</v>
      </c>
      <c r="P17" s="71">
        <f t="shared" si="12"/>
        <v>30086.322705377333</v>
      </c>
      <c r="Q17" s="71">
        <f t="shared" si="12"/>
        <v>32239.012460812341</v>
      </c>
    </row>
    <row r="18" spans="1:17">
      <c r="B18" t="s">
        <v>155</v>
      </c>
      <c r="C18" s="70">
        <f>-'Data Sheet'!C32</f>
        <v>-1190.06</v>
      </c>
      <c r="D18" s="70">
        <f>-'Data Sheet'!D32</f>
        <v>-2342.85</v>
      </c>
      <c r="E18" s="70">
        <f>-'Data Sheet'!E32</f>
        <v>-2418.2600000000002</v>
      </c>
      <c r="F18" s="70">
        <f>-'Data Sheet'!F32</f>
        <v>-1488.49</v>
      </c>
      <c r="G18" s="70">
        <f>-'Data Sheet'!G32</f>
        <v>-2738.84</v>
      </c>
      <c r="H18" s="74">
        <f>-H17*H34</f>
        <v>-3048.002430047281</v>
      </c>
      <c r="I18" s="74">
        <f t="shared" ref="I18:Q18" si="13">-I17*I34</f>
        <v>-3575.4856558146857</v>
      </c>
      <c r="J18" s="74">
        <f t="shared" si="13"/>
        <v>-4123.2504202688542</v>
      </c>
      <c r="K18" s="74">
        <f t="shared" si="13"/>
        <v>-4705.3611947401987</v>
      </c>
      <c r="L18" s="74">
        <f t="shared" si="13"/>
        <v>-5303.9373881759602</v>
      </c>
      <c r="M18" s="74">
        <f t="shared" si="13"/>
        <v>-5925.5985618587456</v>
      </c>
      <c r="N18" s="74">
        <f t="shared" si="13"/>
        <v>-6463.0699976376309</v>
      </c>
      <c r="O18" s="74">
        <f t="shared" si="13"/>
        <v>-7000.9175461117093</v>
      </c>
      <c r="P18" s="74">
        <f t="shared" si="13"/>
        <v>-7540.971107704333</v>
      </c>
      <c r="Q18" s="74">
        <f t="shared" si="13"/>
        <v>-8080.5309405411026</v>
      </c>
    </row>
    <row r="19" spans="1:17" ht="15" thickBot="1">
      <c r="B19" s="37" t="s">
        <v>156</v>
      </c>
      <c r="C19" s="75">
        <f t="shared" ref="C19:H19" si="14">SUM(C17:C18)</f>
        <v>7174.340000000002</v>
      </c>
      <c r="D19" s="75">
        <f t="shared" si="14"/>
        <v>5073.4000000000015</v>
      </c>
      <c r="E19" s="75">
        <f t="shared" si="14"/>
        <v>7003.9599999999973</v>
      </c>
      <c r="F19" s="75">
        <f t="shared" si="14"/>
        <v>6039.640000000004</v>
      </c>
      <c r="G19" s="75">
        <f t="shared" si="14"/>
        <v>8188.3499999999931</v>
      </c>
      <c r="H19" s="75">
        <f t="shared" si="14"/>
        <v>9112.6574382138533</v>
      </c>
      <c r="I19" s="75">
        <f t="shared" ref="I19:Q19" si="15">SUM(I17:I18)</f>
        <v>10689.68175205202</v>
      </c>
      <c r="J19" s="75">
        <f t="shared" si="15"/>
        <v>12327.342078693331</v>
      </c>
      <c r="K19" s="75">
        <f t="shared" si="15"/>
        <v>14067.687173749058</v>
      </c>
      <c r="L19" s="75">
        <f t="shared" si="15"/>
        <v>15857.259172668204</v>
      </c>
      <c r="M19" s="75">
        <f t="shared" si="15"/>
        <v>17715.84867461992</v>
      </c>
      <c r="N19" s="75">
        <f t="shared" si="15"/>
        <v>19322.734885994087</v>
      </c>
      <c r="O19" s="75">
        <f t="shared" si="15"/>
        <v>20930.745566993239</v>
      </c>
      <c r="P19" s="75">
        <f t="shared" si="15"/>
        <v>22545.351597673001</v>
      </c>
      <c r="Q19" s="75">
        <f t="shared" si="15"/>
        <v>24158.481520271238</v>
      </c>
    </row>
    <row r="20" spans="1:17" s="60" customFormat="1">
      <c r="B20" s="65"/>
      <c r="C20" s="25"/>
      <c r="D20" s="25"/>
      <c r="E20" s="25"/>
      <c r="F20" s="25"/>
      <c r="G20" s="25"/>
      <c r="H20" s="65"/>
      <c r="I20" s="65"/>
      <c r="J20" s="65"/>
      <c r="K20" s="65"/>
      <c r="L20" s="65"/>
      <c r="M20" s="65"/>
      <c r="N20" s="65"/>
      <c r="O20" s="65"/>
      <c r="P20" s="65"/>
      <c r="Q20" s="65"/>
    </row>
    <row r="21" spans="1:17" s="60" customFormat="1">
      <c r="B21" s="65" t="s">
        <v>225</v>
      </c>
      <c r="C21" s="25">
        <f>-'Data Sheet'!C34</f>
        <v>10.050000000000001</v>
      </c>
      <c r="D21" s="25">
        <f>-'Data Sheet'!D34</f>
        <v>-9.44</v>
      </c>
      <c r="E21" s="25">
        <f>-'Data Sheet'!E34</f>
        <v>1.04</v>
      </c>
      <c r="F21" s="25">
        <f>-'Data Sheet'!F34</f>
        <v>-0.53</v>
      </c>
      <c r="G21" s="25">
        <f>-'Data Sheet'!G34</f>
        <v>-22.71</v>
      </c>
      <c r="H21" s="25">
        <f>-H19*H40</f>
        <v>-25.273522800300036</v>
      </c>
      <c r="I21" s="25">
        <f t="shared" ref="I21:Q21" si="16">-I19*I40</f>
        <v>-29.647324868758858</v>
      </c>
      <c r="J21" s="25">
        <f t="shared" si="16"/>
        <v>-34.189298040157759</v>
      </c>
      <c r="K21" s="25">
        <f t="shared" si="16"/>
        <v>-39.0160625420068</v>
      </c>
      <c r="L21" s="25">
        <f t="shared" si="16"/>
        <v>-43.979355524775471</v>
      </c>
      <c r="M21" s="25">
        <f t="shared" si="16"/>
        <v>-49.134065275741598</v>
      </c>
      <c r="N21" s="25">
        <f t="shared" si="16"/>
        <v>-53.590687899384626</v>
      </c>
      <c r="O21" s="25">
        <f t="shared" si="16"/>
        <v>-58.050429186150673</v>
      </c>
      <c r="P21" s="25">
        <f t="shared" si="16"/>
        <v>-62.528462362155295</v>
      </c>
      <c r="Q21" s="25">
        <f t="shared" si="16"/>
        <v>-67.002401622470984</v>
      </c>
    </row>
    <row r="22" spans="1:17">
      <c r="B22" s="81" t="s">
        <v>226</v>
      </c>
      <c r="C22" s="14">
        <f>C19+C21</f>
        <v>7184.3900000000021</v>
      </c>
      <c r="D22" s="14">
        <f>D19+D21</f>
        <v>5063.9600000000019</v>
      </c>
      <c r="E22" s="14">
        <f>E19+E21</f>
        <v>7004.9999999999973</v>
      </c>
      <c r="F22" s="14">
        <f>F19+F21</f>
        <v>6039.1100000000042</v>
      </c>
      <c r="G22" s="14">
        <f>G19+G21</f>
        <v>8165.6399999999931</v>
      </c>
      <c r="H22" s="14">
        <f t="shared" ref="H22:Q22" si="17">H19+H21</f>
        <v>9087.383915413553</v>
      </c>
      <c r="I22" s="14">
        <f t="shared" si="17"/>
        <v>10660.034427183262</v>
      </c>
      <c r="J22" s="14">
        <f t="shared" si="17"/>
        <v>12293.152780653174</v>
      </c>
      <c r="K22" s="14">
        <f t="shared" si="17"/>
        <v>14028.671111207052</v>
      </c>
      <c r="L22" s="14">
        <f t="shared" si="17"/>
        <v>15813.279817143428</v>
      </c>
      <c r="M22" s="14">
        <f t="shared" si="17"/>
        <v>17666.714609344177</v>
      </c>
      <c r="N22" s="14">
        <f t="shared" si="17"/>
        <v>19269.144198094702</v>
      </c>
      <c r="O22" s="14">
        <f t="shared" si="17"/>
        <v>20872.695137807088</v>
      </c>
      <c r="P22" s="14">
        <f t="shared" si="17"/>
        <v>22482.823135310846</v>
      </c>
      <c r="Q22" s="14">
        <f t="shared" si="17"/>
        <v>24091.479118648767</v>
      </c>
    </row>
    <row r="23" spans="1:17" s="60" customFormat="1">
      <c r="B23" s="81"/>
      <c r="C23" s="82"/>
      <c r="D23" s="82"/>
      <c r="E23" s="82"/>
      <c r="F23" s="82"/>
      <c r="G23" s="82"/>
    </row>
    <row r="24" spans="1:17" ht="18.5">
      <c r="A24" s="33" t="s">
        <v>2</v>
      </c>
      <c r="B24" s="61" t="s">
        <v>158</v>
      </c>
      <c r="C24" s="62"/>
      <c r="D24" s="62"/>
      <c r="E24" s="62"/>
      <c r="F24" s="62"/>
      <c r="G24" s="62"/>
      <c r="H24" s="38"/>
      <c r="I24" s="38"/>
      <c r="J24" s="38"/>
      <c r="K24" s="38"/>
      <c r="L24" s="38"/>
      <c r="M24" s="38"/>
      <c r="N24" s="38"/>
      <c r="O24" s="40"/>
      <c r="P24" s="40"/>
      <c r="Q24" s="38"/>
    </row>
    <row r="26" spans="1:17">
      <c r="B26" s="42" t="s">
        <v>159</v>
      </c>
      <c r="C26" s="96"/>
      <c r="D26" s="97">
        <v>1</v>
      </c>
    </row>
    <row r="27" spans="1:17">
      <c r="B27" s="47" t="s">
        <v>160</v>
      </c>
      <c r="C27" s="76" t="s">
        <v>193</v>
      </c>
      <c r="D27" s="104">
        <f>D7/C7-1</f>
        <v>0.20230773194004503</v>
      </c>
      <c r="E27" s="104">
        <f>E7/D7-1</f>
        <v>0.12125494030833028</v>
      </c>
      <c r="F27" s="104">
        <f>F7/E7-1</f>
        <v>7.117645449450527E-2</v>
      </c>
      <c r="G27" s="104">
        <f>G7/F7-1</f>
        <v>0.16531338962885056</v>
      </c>
      <c r="H27" s="104">
        <f t="shared" ref="H27:Q27" si="18">H7/G7-1</f>
        <v>9.4998508914100555E-2</v>
      </c>
      <c r="I27" s="104">
        <f t="shared" si="18"/>
        <v>0.13060752878329596</v>
      </c>
      <c r="J27" s="104">
        <f t="shared" si="18"/>
        <v>0.11742624367019183</v>
      </c>
      <c r="K27" s="104">
        <f t="shared" si="18"/>
        <v>0.10268757681278151</v>
      </c>
      <c r="L27" s="104">
        <f t="shared" si="18"/>
        <v>9.7255633523230189E-2</v>
      </c>
      <c r="M27" s="104">
        <f t="shared" si="18"/>
        <v>9.2462642336290868E-2</v>
      </c>
      <c r="N27" s="104">
        <f t="shared" si="18"/>
        <v>7.5238931834153311E-2</v>
      </c>
      <c r="O27" s="104">
        <f t="shared" si="18"/>
        <v>7.1602154156849451E-2</v>
      </c>
      <c r="P27" s="104">
        <f t="shared" si="18"/>
        <v>6.8320931737301693E-2</v>
      </c>
      <c r="Q27" s="104">
        <f t="shared" si="18"/>
        <v>6.5339987523393761E-2</v>
      </c>
    </row>
    <row r="28" spans="1:17">
      <c r="B28" s="47" t="s">
        <v>161</v>
      </c>
      <c r="C28" s="78">
        <f>-C8/C7</f>
        <v>0.38218055420624375</v>
      </c>
      <c r="D28" s="104">
        <f>-D8/D7</f>
        <v>0.44601974889935131</v>
      </c>
      <c r="E28" s="104">
        <f>-E8/E7</f>
        <v>0.4257090934834844</v>
      </c>
      <c r="F28" s="104">
        <f>-F8/F7</f>
        <v>0.42291916293211529</v>
      </c>
      <c r="G28" s="104">
        <f>-G8/G7</f>
        <v>0.41560144763060819</v>
      </c>
      <c r="H28" s="104">
        <f t="shared" ref="H28:Q28" si="19">-H8/H7</f>
        <v>0.41560144763060825</v>
      </c>
      <c r="I28" s="104">
        <f t="shared" si="19"/>
        <v>0.41560144763060819</v>
      </c>
      <c r="J28" s="104">
        <f t="shared" si="19"/>
        <v>0.41560144763060813</v>
      </c>
      <c r="K28" s="104">
        <f t="shared" si="19"/>
        <v>0.41560144763060819</v>
      </c>
      <c r="L28" s="104">
        <f t="shared" si="19"/>
        <v>0.41560144763060819</v>
      </c>
      <c r="M28" s="104">
        <f t="shared" si="19"/>
        <v>0.41560144763060808</v>
      </c>
      <c r="N28" s="104">
        <f t="shared" si="19"/>
        <v>0.41560144763060813</v>
      </c>
      <c r="O28" s="104">
        <f t="shared" si="19"/>
        <v>0.41560144763060819</v>
      </c>
      <c r="P28" s="104">
        <f t="shared" si="19"/>
        <v>0.41560144763060819</v>
      </c>
      <c r="Q28" s="104">
        <f t="shared" si="19"/>
        <v>0.41560144763060819</v>
      </c>
    </row>
    <row r="29" spans="1:17">
      <c r="B29" s="45" t="s">
        <v>162</v>
      </c>
      <c r="C29" s="78">
        <f>-C10/C7</f>
        <v>4.8188904582098117E-2</v>
      </c>
      <c r="D29" s="104">
        <f>-D10/D7</f>
        <v>4.3310734759878157E-2</v>
      </c>
      <c r="E29" s="104">
        <f>-E10/E7</f>
        <v>4.2838241138464496E-2</v>
      </c>
      <c r="F29" s="104">
        <f>-F10/F7</f>
        <v>4.7456834054526664E-2</v>
      </c>
      <c r="G29" s="104">
        <f>-G10/G7</f>
        <v>4.7027093532334148E-2</v>
      </c>
      <c r="H29" s="104">
        <f t="shared" ref="H29:Q29" si="20">-H10/H7</f>
        <v>4.7940240979563946E-2</v>
      </c>
      <c r="I29" s="104">
        <f t="shared" si="20"/>
        <v>4.8871119445186552E-2</v>
      </c>
      <c r="J29" s="104">
        <f t="shared" si="20"/>
        <v>4.9820073220821229E-2</v>
      </c>
      <c r="K29" s="104">
        <f t="shared" si="20"/>
        <v>5.0787453283361456E-2</v>
      </c>
      <c r="L29" s="104">
        <f t="shared" si="20"/>
        <v>5.1773617424785943E-2</v>
      </c>
      <c r="M29" s="104">
        <f t="shared" si="20"/>
        <v>5.2778930384490531E-2</v>
      </c>
      <c r="N29" s="104">
        <f t="shared" si="20"/>
        <v>5.3803763984189373E-2</v>
      </c>
      <c r="O29" s="104">
        <f t="shared" si="20"/>
        <v>5.4848497265435774E-2</v>
      </c>
      <c r="P29" s="104">
        <f t="shared" si="20"/>
        <v>5.591351662981317E-2</v>
      </c>
      <c r="Q29" s="104">
        <f t="shared" si="20"/>
        <v>5.6999215981848372E-2</v>
      </c>
    </row>
    <row r="30" spans="1:17">
      <c r="B30" s="44" t="s">
        <v>163</v>
      </c>
      <c r="C30" s="78">
        <f>-C11/C7</f>
        <v>0.3507216795506668</v>
      </c>
      <c r="D30" s="104">
        <f>-D11/D7</f>
        <v>0.3427401463441323</v>
      </c>
      <c r="E30" s="104">
        <f>-E11/E7</f>
        <v>0.34856026402610479</v>
      </c>
      <c r="F30" s="104">
        <f>-F11/F7</f>
        <v>0.36429678943344573</v>
      </c>
      <c r="G30" s="104">
        <f>-G11/G7</f>
        <v>0.34507752831749716</v>
      </c>
      <c r="H30" s="104">
        <f t="shared" ref="H30:Q30" si="21">-H11/H7</f>
        <v>0.34507752831749722</v>
      </c>
      <c r="I30" s="104">
        <f t="shared" si="21"/>
        <v>0.34507752831749716</v>
      </c>
      <c r="J30" s="104">
        <f t="shared" si="21"/>
        <v>0.34507752831749711</v>
      </c>
      <c r="K30" s="104">
        <f t="shared" si="21"/>
        <v>0.34507752831749716</v>
      </c>
      <c r="L30" s="104">
        <f t="shared" si="21"/>
        <v>0.34507752831749716</v>
      </c>
      <c r="M30" s="104">
        <f t="shared" si="21"/>
        <v>0.34507752831749711</v>
      </c>
      <c r="N30" s="104">
        <f t="shared" si="21"/>
        <v>0.345077528317497</v>
      </c>
      <c r="O30" s="104">
        <f t="shared" si="21"/>
        <v>0.34507752831749705</v>
      </c>
      <c r="P30" s="104">
        <f t="shared" si="21"/>
        <v>0.34507752831749716</v>
      </c>
      <c r="Q30" s="104">
        <f t="shared" si="21"/>
        <v>0.34507752831749705</v>
      </c>
    </row>
    <row r="31" spans="1:17">
      <c r="B31" s="48" t="s">
        <v>164</v>
      </c>
      <c r="C31" s="76" t="s">
        <v>193</v>
      </c>
      <c r="D31" s="104">
        <f>-D120/D117</f>
        <v>5.948726251358448E-2</v>
      </c>
      <c r="E31" s="104">
        <f>-E120/E117</f>
        <v>6.0830993964864508E-2</v>
      </c>
      <c r="F31" s="104">
        <f>-F120/F117</f>
        <v>6.9432615196887579E-2</v>
      </c>
      <c r="G31" s="104">
        <f>-G120/G117</f>
        <v>5.593094055951172E-2</v>
      </c>
      <c r="H31" s="104">
        <f>G31</f>
        <v>5.593094055951172E-2</v>
      </c>
      <c r="I31" s="104">
        <f t="shared" ref="I31:Q31" si="22">H31</f>
        <v>5.593094055951172E-2</v>
      </c>
      <c r="J31" s="104">
        <f t="shared" si="22"/>
        <v>5.593094055951172E-2</v>
      </c>
      <c r="K31" s="104">
        <f t="shared" si="22"/>
        <v>5.593094055951172E-2</v>
      </c>
      <c r="L31" s="104">
        <f t="shared" si="22"/>
        <v>5.593094055951172E-2</v>
      </c>
      <c r="M31" s="104">
        <f t="shared" si="22"/>
        <v>5.593094055951172E-2</v>
      </c>
      <c r="N31" s="104">
        <f t="shared" si="22"/>
        <v>5.593094055951172E-2</v>
      </c>
      <c r="O31" s="104">
        <f t="shared" si="22"/>
        <v>5.593094055951172E-2</v>
      </c>
      <c r="P31" s="104">
        <f t="shared" si="22"/>
        <v>5.593094055951172E-2</v>
      </c>
      <c r="Q31" s="104">
        <f t="shared" si="22"/>
        <v>5.593094055951172E-2</v>
      </c>
    </row>
    <row r="32" spans="1:17">
      <c r="B32" s="47" t="s">
        <v>228</v>
      </c>
      <c r="C32" s="76" t="s">
        <v>193</v>
      </c>
      <c r="D32" s="104">
        <f>-D127/AVERAGE(D124,D126)</f>
        <v>7.3599939883362983E-2</v>
      </c>
      <c r="E32" s="104">
        <f>-E127/AVERAGE(E124,E126)</f>
        <v>8.6195036750874518E-2</v>
      </c>
      <c r="F32" s="104">
        <f>-F127/AVERAGE(F124,F126)</f>
        <v>9.2974733510340607E-2</v>
      </c>
      <c r="G32" s="104">
        <f>-G127/AVERAGE(G124,G126)</f>
        <v>7.8220508608201011E-2</v>
      </c>
      <c r="H32" s="104">
        <f>G32</f>
        <v>7.8220508608201011E-2</v>
      </c>
      <c r="I32" s="104">
        <f t="shared" ref="I32:Q32" si="23">H32</f>
        <v>7.8220508608201011E-2</v>
      </c>
      <c r="J32" s="104">
        <f t="shared" si="23"/>
        <v>7.8220508608201011E-2</v>
      </c>
      <c r="K32" s="104">
        <f t="shared" si="23"/>
        <v>7.8220508608201011E-2</v>
      </c>
      <c r="L32" s="104">
        <f t="shared" si="23"/>
        <v>7.8220508608201011E-2</v>
      </c>
      <c r="M32" s="104">
        <f t="shared" si="23"/>
        <v>7.8220508608201011E-2</v>
      </c>
      <c r="N32" s="104">
        <f t="shared" si="23"/>
        <v>7.8220508608201011E-2</v>
      </c>
      <c r="O32" s="104">
        <f t="shared" si="23"/>
        <v>7.8220508608201011E-2</v>
      </c>
      <c r="P32" s="104">
        <f t="shared" si="23"/>
        <v>7.8220508608201011E-2</v>
      </c>
      <c r="Q32" s="104">
        <f t="shared" si="23"/>
        <v>7.8220508608201011E-2</v>
      </c>
    </row>
    <row r="33" spans="1:17">
      <c r="B33" s="47" t="s">
        <v>165</v>
      </c>
      <c r="C33" s="78">
        <f>C16/C7</f>
        <v>9.6867173661467371E-3</v>
      </c>
      <c r="D33" s="104">
        <f>D16/D7</f>
        <v>8.0188197402971968E-3</v>
      </c>
      <c r="E33" s="104">
        <f>E16/E7</f>
        <v>7.9956969679362624E-3</v>
      </c>
      <c r="F33" s="104">
        <f>F16/F7</f>
        <v>8.3756028065517085E-3</v>
      </c>
      <c r="G33" s="104">
        <f>G16/G7</f>
        <v>4.7805071271505529E-3</v>
      </c>
      <c r="H33" s="104">
        <f>G33</f>
        <v>4.7805071271505529E-3</v>
      </c>
      <c r="I33" s="104">
        <f t="shared" ref="I33:Q33" si="24">H33</f>
        <v>4.7805071271505529E-3</v>
      </c>
      <c r="J33" s="104">
        <f t="shared" si="24"/>
        <v>4.7805071271505529E-3</v>
      </c>
      <c r="K33" s="104">
        <f t="shared" si="24"/>
        <v>4.7805071271505529E-3</v>
      </c>
      <c r="L33" s="104">
        <f t="shared" si="24"/>
        <v>4.7805071271505529E-3</v>
      </c>
      <c r="M33" s="104">
        <f t="shared" si="24"/>
        <v>4.7805071271505529E-3</v>
      </c>
      <c r="N33" s="104">
        <f t="shared" si="24"/>
        <v>4.7805071271505529E-3</v>
      </c>
      <c r="O33" s="104">
        <f t="shared" si="24"/>
        <v>4.7805071271505529E-3</v>
      </c>
      <c r="P33" s="104">
        <f t="shared" si="24"/>
        <v>4.7805071271505529E-3</v>
      </c>
      <c r="Q33" s="104">
        <f t="shared" si="24"/>
        <v>4.7805071271505529E-3</v>
      </c>
    </row>
    <row r="34" spans="1:17">
      <c r="B34" s="48" t="s">
        <v>166</v>
      </c>
      <c r="C34" s="78">
        <f>-C18/C17</f>
        <v>0.14227679211898042</v>
      </c>
      <c r="D34" s="104">
        <f>-D18/D17</f>
        <v>0.31590763526040777</v>
      </c>
      <c r="E34" s="104">
        <f>-E18/E17</f>
        <v>0.25665501336203156</v>
      </c>
      <c r="F34" s="104">
        <f>-F18/F17</f>
        <v>0.19772373750187619</v>
      </c>
      <c r="G34" s="104">
        <f>-G18/G17</f>
        <v>0.25064449323202048</v>
      </c>
      <c r="H34" s="104">
        <f>G34</f>
        <v>0.25064449323202048</v>
      </c>
      <c r="I34" s="104">
        <f t="shared" ref="I34:Q35" si="25">H34</f>
        <v>0.25064449323202048</v>
      </c>
      <c r="J34" s="104">
        <f t="shared" si="25"/>
        <v>0.25064449323202048</v>
      </c>
      <c r="K34" s="104">
        <f t="shared" si="25"/>
        <v>0.25064449323202048</v>
      </c>
      <c r="L34" s="104">
        <f t="shared" si="25"/>
        <v>0.25064449323202048</v>
      </c>
      <c r="M34" s="104">
        <f t="shared" si="25"/>
        <v>0.25064449323202048</v>
      </c>
      <c r="N34" s="104">
        <f t="shared" si="25"/>
        <v>0.25064449323202048</v>
      </c>
      <c r="O34" s="104">
        <f t="shared" si="25"/>
        <v>0.25064449323202048</v>
      </c>
      <c r="P34" s="104">
        <f t="shared" si="25"/>
        <v>0.25064449323202048</v>
      </c>
      <c r="Q34" s="104">
        <f t="shared" si="25"/>
        <v>0.25064449323202048</v>
      </c>
    </row>
    <row r="35" spans="1:17">
      <c r="B35" s="47" t="s">
        <v>167</v>
      </c>
      <c r="C35" s="78">
        <f>-C99/C22</f>
        <v>0.14823805500536574</v>
      </c>
      <c r="D35" s="104">
        <f>-D99/D22</f>
        <v>0.21549735779903467</v>
      </c>
      <c r="E35" s="104">
        <f>-E99/E22</f>
        <v>0.15623554603854398</v>
      </c>
      <c r="F35" s="104">
        <f>-F99/F22</f>
        <v>0.33310371892547058</v>
      </c>
      <c r="G35" s="104">
        <f>-G99/G22</f>
        <v>0.27840561180752543</v>
      </c>
      <c r="H35" s="104">
        <f>G35</f>
        <v>0.27840561180752543</v>
      </c>
      <c r="I35" s="104">
        <f t="shared" si="25"/>
        <v>0.27840561180752543</v>
      </c>
      <c r="J35" s="104">
        <f t="shared" si="25"/>
        <v>0.27840561180752543</v>
      </c>
      <c r="K35" s="104">
        <f t="shared" si="25"/>
        <v>0.27840561180752543</v>
      </c>
      <c r="L35" s="104">
        <f t="shared" si="25"/>
        <v>0.27840561180752543</v>
      </c>
      <c r="M35" s="104">
        <f t="shared" si="25"/>
        <v>0.27840561180752543</v>
      </c>
      <c r="N35" s="104">
        <f t="shared" si="25"/>
        <v>0.27840561180752543</v>
      </c>
      <c r="O35" s="104">
        <f t="shared" si="25"/>
        <v>0.27840561180752543</v>
      </c>
      <c r="P35" s="104">
        <f t="shared" si="25"/>
        <v>0.27840561180752543</v>
      </c>
      <c r="Q35" s="104">
        <f t="shared" si="25"/>
        <v>0.27840561180752543</v>
      </c>
    </row>
    <row r="36" spans="1:17">
      <c r="B36" s="47" t="s">
        <v>168</v>
      </c>
      <c r="C36" s="76" t="s">
        <v>193</v>
      </c>
      <c r="D36" s="105">
        <f>(AVERAGE(C47:D47)/D7)*365</f>
        <v>20.023725102379856</v>
      </c>
      <c r="E36" s="105">
        <f>(AVERAGE(D47:E47)/E7)*365</f>
        <v>20.963677089823541</v>
      </c>
      <c r="F36" s="105">
        <f>(AVERAGE(E47:F47)/F7)*365</f>
        <v>24.431988003970236</v>
      </c>
      <c r="G36" s="105">
        <f>(AVERAGE(F47:G47)/G7)*365</f>
        <v>24.575527052803178</v>
      </c>
      <c r="H36" s="105">
        <f>AVERAGE(F36:G36)</f>
        <v>24.503757528386707</v>
      </c>
      <c r="I36" s="105">
        <f t="shared" ref="I36:Q38" si="26">AVERAGE(G36:H36)</f>
        <v>24.539642290594941</v>
      </c>
      <c r="J36" s="105">
        <f t="shared" si="26"/>
        <v>24.521699909490824</v>
      </c>
      <c r="K36" s="105">
        <f t="shared" si="26"/>
        <v>24.530671100042881</v>
      </c>
      <c r="L36" s="105">
        <f t="shared" si="26"/>
        <v>24.52618550476685</v>
      </c>
      <c r="M36" s="105">
        <f t="shared" si="26"/>
        <v>24.528428302404865</v>
      </c>
      <c r="N36" s="105">
        <f t="shared" si="26"/>
        <v>24.52730690358586</v>
      </c>
      <c r="O36" s="105">
        <f t="shared" si="26"/>
        <v>24.527867602995364</v>
      </c>
      <c r="P36" s="105">
        <f t="shared" si="26"/>
        <v>24.527587253290612</v>
      </c>
      <c r="Q36" s="105">
        <f t="shared" si="26"/>
        <v>24.527727428142988</v>
      </c>
    </row>
    <row r="37" spans="1:17">
      <c r="B37" s="47" t="s">
        <v>169</v>
      </c>
      <c r="C37" s="76" t="s">
        <v>193</v>
      </c>
      <c r="D37" s="105">
        <f>-(AVERAGE(C48:D48)/D8)*365</f>
        <v>78.984266092515568</v>
      </c>
      <c r="E37" s="105">
        <f>-(AVERAGE(D48:E48)/E8)*365</f>
        <v>90.333758858340758</v>
      </c>
      <c r="F37" s="105">
        <f>-(AVERAGE(E48:F48)/F8)*365</f>
        <v>101.65406713221232</v>
      </c>
      <c r="G37" s="105">
        <f>-(AVERAGE(F48:G48)/G8)*365</f>
        <v>95.538949836783601</v>
      </c>
      <c r="H37" s="105">
        <f>AVERAGE(F37:G37)</f>
        <v>98.59650848449796</v>
      </c>
      <c r="I37" s="105">
        <f t="shared" si="26"/>
        <v>97.067729160640781</v>
      </c>
      <c r="J37" s="105">
        <f t="shared" si="26"/>
        <v>97.83211882256937</v>
      </c>
      <c r="K37" s="105">
        <f t="shared" si="26"/>
        <v>97.449923991605075</v>
      </c>
      <c r="L37" s="105">
        <f t="shared" si="26"/>
        <v>97.641021407087223</v>
      </c>
      <c r="M37" s="105">
        <f t="shared" si="26"/>
        <v>97.545472699346149</v>
      </c>
      <c r="N37" s="105">
        <f t="shared" si="26"/>
        <v>97.593247053216686</v>
      </c>
      <c r="O37" s="105">
        <f t="shared" si="26"/>
        <v>97.569359876281425</v>
      </c>
      <c r="P37" s="105">
        <f t="shared" si="26"/>
        <v>97.581303464749055</v>
      </c>
      <c r="Q37" s="105">
        <f t="shared" si="26"/>
        <v>97.57533167051524</v>
      </c>
    </row>
    <row r="38" spans="1:17">
      <c r="B38" s="47" t="s">
        <v>170</v>
      </c>
      <c r="C38" s="76" t="s">
        <v>193</v>
      </c>
      <c r="D38" s="105">
        <f>-AVERAGE(C60:D60)/D8*365</f>
        <v>84.579169071568458</v>
      </c>
      <c r="E38" s="105">
        <f>-AVERAGE(D60:E60)/E8*365</f>
        <v>94.844289152938558</v>
      </c>
      <c r="F38" s="105">
        <f>-AVERAGE(E60:F60)/F8*365</f>
        <v>101.1603045866373</v>
      </c>
      <c r="G38" s="105">
        <f>-AVERAGE(F60:G60)/G8*365</f>
        <v>97.061688267557443</v>
      </c>
      <c r="H38" s="105">
        <f>AVERAGE(F38:G38)</f>
        <v>99.110996427097376</v>
      </c>
      <c r="I38" s="105">
        <f t="shared" si="26"/>
        <v>98.086342347327417</v>
      </c>
      <c r="J38" s="105">
        <f t="shared" si="26"/>
        <v>98.598669387212396</v>
      </c>
      <c r="K38" s="105">
        <f t="shared" si="26"/>
        <v>98.342505867269907</v>
      </c>
      <c r="L38" s="105">
        <f t="shared" si="26"/>
        <v>98.470587627241144</v>
      </c>
      <c r="M38" s="105">
        <f t="shared" si="26"/>
        <v>98.406546747255533</v>
      </c>
      <c r="N38" s="105">
        <f t="shared" si="26"/>
        <v>98.438567187248339</v>
      </c>
      <c r="O38" s="105">
        <f t="shared" si="26"/>
        <v>98.422556967251936</v>
      </c>
      <c r="P38" s="105">
        <f t="shared" si="26"/>
        <v>98.43056207725013</v>
      </c>
      <c r="Q38" s="105">
        <f t="shared" si="26"/>
        <v>98.42655952225104</v>
      </c>
    </row>
    <row r="39" spans="1:17">
      <c r="B39" s="49" t="s">
        <v>171</v>
      </c>
      <c r="C39" s="76" t="s">
        <v>193</v>
      </c>
      <c r="D39" s="106">
        <f>D7/AVERAGE(C52:D52)</f>
        <v>1.2616003077795022</v>
      </c>
      <c r="E39" s="106">
        <f>E7/AVERAGE(D52:E52)</f>
        <v>1.2947630746015637</v>
      </c>
      <c r="F39" s="106">
        <f>F7/AVERAGE(E52:F52)</f>
        <v>1.0784154568026878</v>
      </c>
      <c r="G39" s="106">
        <f>G7/AVERAGE(F52:G52)</f>
        <v>1.0273356392950075</v>
      </c>
      <c r="H39" s="106">
        <f t="shared" ref="H39:Q39" si="27">H7/AVERAGE(G52:H52)</f>
        <v>1.0563923158546686</v>
      </c>
      <c r="I39" s="106">
        <f t="shared" si="27"/>
        <v>1.1320120159128266</v>
      </c>
      <c r="J39" s="106">
        <f t="shared" si="27"/>
        <v>1.2118881926774918</v>
      </c>
      <c r="K39" s="106">
        <f t="shared" si="27"/>
        <v>1.2923015964497373</v>
      </c>
      <c r="L39" s="106">
        <f t="shared" si="27"/>
        <v>1.3725400976696653</v>
      </c>
      <c r="M39" s="106">
        <f t="shared" si="27"/>
        <v>1.4525513641625059</v>
      </c>
      <c r="N39" s="106">
        <f t="shared" si="27"/>
        <v>1.5144944737168733</v>
      </c>
      <c r="O39" s="106">
        <f t="shared" si="27"/>
        <v>1.5753974979709697</v>
      </c>
      <c r="P39" s="106">
        <f t="shared" si="27"/>
        <v>1.635499039805147</v>
      </c>
      <c r="Q39" s="106">
        <f t="shared" si="27"/>
        <v>1.6948132312827204</v>
      </c>
    </row>
    <row r="40" spans="1:17" s="60" customFormat="1">
      <c r="B40" s="49" t="s">
        <v>260</v>
      </c>
      <c r="C40" s="95">
        <f>-C21/C19</f>
        <v>-1.4008257205540854E-3</v>
      </c>
      <c r="D40" s="107">
        <f>-D21/D19</f>
        <v>1.8606851421137693E-3</v>
      </c>
      <c r="E40" s="107">
        <f>-E21/E19</f>
        <v>-1.4848742711266204E-4</v>
      </c>
      <c r="F40" s="107">
        <f>-F21/F19</f>
        <v>8.7753574716373773E-5</v>
      </c>
      <c r="G40" s="107">
        <f>-G21/G19</f>
        <v>2.7734525270658949E-3</v>
      </c>
      <c r="H40" s="107">
        <f>G40</f>
        <v>2.7734525270658949E-3</v>
      </c>
      <c r="I40" s="107">
        <f t="shared" ref="I40:Q40" si="28">H40</f>
        <v>2.7734525270658949E-3</v>
      </c>
      <c r="J40" s="107">
        <f t="shared" si="28"/>
        <v>2.7734525270658949E-3</v>
      </c>
      <c r="K40" s="107">
        <f t="shared" si="28"/>
        <v>2.7734525270658949E-3</v>
      </c>
      <c r="L40" s="107">
        <f t="shared" si="28"/>
        <v>2.7734525270658949E-3</v>
      </c>
      <c r="M40" s="107">
        <f t="shared" si="28"/>
        <v>2.7734525270658949E-3</v>
      </c>
      <c r="N40" s="107">
        <f t="shared" si="28"/>
        <v>2.7734525270658949E-3</v>
      </c>
      <c r="O40" s="107">
        <f t="shared" si="28"/>
        <v>2.7734525270658949E-3</v>
      </c>
      <c r="P40" s="107">
        <f t="shared" si="28"/>
        <v>2.7734525270658949E-3</v>
      </c>
      <c r="Q40" s="107">
        <f t="shared" si="28"/>
        <v>2.7734525270658949E-3</v>
      </c>
    </row>
    <row r="42" spans="1:17" ht="18.5">
      <c r="A42" s="42" t="s">
        <v>2</v>
      </c>
      <c r="B42" s="43" t="s">
        <v>157</v>
      </c>
      <c r="C42" s="46"/>
      <c r="D42" s="46"/>
      <c r="E42" s="46"/>
      <c r="F42" s="46"/>
      <c r="G42" s="46"/>
      <c r="H42" s="46"/>
      <c r="I42" s="46"/>
      <c r="J42" s="46"/>
      <c r="K42" s="46"/>
      <c r="L42" s="46"/>
      <c r="M42" s="46"/>
      <c r="N42" s="46"/>
      <c r="O42" s="40"/>
      <c r="P42" s="40"/>
      <c r="Q42" s="46"/>
    </row>
    <row r="44" spans="1:17">
      <c r="B44" s="53" t="s">
        <v>50</v>
      </c>
    </row>
    <row r="45" spans="1:17">
      <c r="B45" s="57" t="s">
        <v>172</v>
      </c>
      <c r="C45" s="70">
        <f>'Data Sheet'!C65</f>
        <v>120.54</v>
      </c>
      <c r="D45" s="70">
        <f>'Data Sheet'!D65</f>
        <v>370.37</v>
      </c>
      <c r="E45" s="70">
        <f>'Data Sheet'!E65</f>
        <v>553.58000000000004</v>
      </c>
      <c r="F45" s="70">
        <f>'Data Sheet'!F65</f>
        <v>467.21</v>
      </c>
      <c r="G45" s="70">
        <f>'Data Sheet'!G65</f>
        <v>354.48</v>
      </c>
      <c r="H45" s="74">
        <f>H105</f>
        <v>1028.4254415115643</v>
      </c>
      <c r="I45" s="74">
        <f t="shared" ref="I45:Q45" si="29">I105</f>
        <v>1798.2051089832435</v>
      </c>
      <c r="J45" s="74">
        <f t="shared" si="29"/>
        <v>4010.5560768892906</v>
      </c>
      <c r="K45" s="74">
        <f t="shared" si="29"/>
        <v>7282.8262186589873</v>
      </c>
      <c r="L45" s="74">
        <f t="shared" si="29"/>
        <v>12012.938378728693</v>
      </c>
      <c r="M45" s="74">
        <f t="shared" si="29"/>
        <v>17784.306034158515</v>
      </c>
      <c r="N45" s="74">
        <f t="shared" si="29"/>
        <v>25590.109507952555</v>
      </c>
      <c r="O45" s="74">
        <f t="shared" si="29"/>
        <v>34294.408488334717</v>
      </c>
      <c r="P45" s="74">
        <f t="shared" si="29"/>
        <v>44946.829193001482</v>
      </c>
      <c r="Q45" s="74">
        <f t="shared" si="29"/>
        <v>56490.125069976304</v>
      </c>
    </row>
    <row r="46" spans="1:17">
      <c r="B46" s="57" t="s">
        <v>173</v>
      </c>
      <c r="C46" s="70">
        <f>'Data Sheet'!C66</f>
        <v>238.64</v>
      </c>
      <c r="D46" s="70">
        <f>'Data Sheet'!D66</f>
        <v>779.22</v>
      </c>
      <c r="E46" s="70">
        <f>'Data Sheet'!E66</f>
        <v>229.63</v>
      </c>
      <c r="F46" s="70">
        <f>'Data Sheet'!F66</f>
        <v>1206.1099999999999</v>
      </c>
      <c r="G46" s="70">
        <f>'Data Sheet'!G66</f>
        <v>1029.8699999999999</v>
      </c>
      <c r="H46" s="74">
        <f>G46</f>
        <v>1029.8699999999999</v>
      </c>
      <c r="I46" s="74">
        <f t="shared" ref="I46:Q46" si="30">H46</f>
        <v>1029.8699999999999</v>
      </c>
      <c r="J46" s="74">
        <f t="shared" si="30"/>
        <v>1029.8699999999999</v>
      </c>
      <c r="K46" s="74">
        <f t="shared" si="30"/>
        <v>1029.8699999999999</v>
      </c>
      <c r="L46" s="74">
        <f t="shared" si="30"/>
        <v>1029.8699999999999</v>
      </c>
      <c r="M46" s="74">
        <f t="shared" si="30"/>
        <v>1029.8699999999999</v>
      </c>
      <c r="N46" s="74">
        <f t="shared" si="30"/>
        <v>1029.8699999999999</v>
      </c>
      <c r="O46" s="74">
        <f t="shared" si="30"/>
        <v>1029.8699999999999</v>
      </c>
      <c r="P46" s="74">
        <f t="shared" si="30"/>
        <v>1029.8699999999999</v>
      </c>
      <c r="Q46" s="74">
        <f t="shared" si="30"/>
        <v>1029.8699999999999</v>
      </c>
    </row>
    <row r="47" spans="1:17">
      <c r="B47" s="57" t="s">
        <v>174</v>
      </c>
      <c r="C47" s="70">
        <f>'Data Sheet'!C64</f>
        <v>3071.61</v>
      </c>
      <c r="D47" s="70">
        <f>'Data Sheet'!D64</f>
        <v>3867.02</v>
      </c>
      <c r="E47" s="70">
        <f>'Data Sheet'!E64</f>
        <v>4278.16</v>
      </c>
      <c r="F47" s="70">
        <f>'Data Sheet'!F64</f>
        <v>5890.25</v>
      </c>
      <c r="G47" s="70">
        <f>'Data Sheet'!G64</f>
        <v>6028.75</v>
      </c>
      <c r="H47" s="74">
        <f>H7*H36/365</f>
        <v>6506.5863485838991</v>
      </c>
      <c r="I47" s="74">
        <f t="shared" ref="I47:Q47" si="31">I7*I36/365</f>
        <v>7367.1686561948391</v>
      </c>
      <c r="J47" s="74">
        <f t="shared" si="31"/>
        <v>8226.2485011680365</v>
      </c>
      <c r="K47" s="74">
        <f t="shared" si="31"/>
        <v>9074.3006176499603</v>
      </c>
      <c r="L47" s="74">
        <f t="shared" si="31"/>
        <v>9955.0068013151031</v>
      </c>
      <c r="M47" s="74">
        <f t="shared" si="31"/>
        <v>10876.46754254016</v>
      </c>
      <c r="N47" s="74">
        <f t="shared" si="31"/>
        <v>11694.266675763825</v>
      </c>
      <c r="O47" s="74">
        <f t="shared" si="31"/>
        <v>12531.887836083652</v>
      </c>
      <c r="P47" s="74">
        <f t="shared" si="31"/>
        <v>13387.925065825824</v>
      </c>
      <c r="Q47" s="74">
        <f t="shared" si="31"/>
        <v>14262.773433695796</v>
      </c>
    </row>
    <row r="48" spans="1:17">
      <c r="B48" s="57" t="s">
        <v>175</v>
      </c>
      <c r="C48" s="70">
        <f>'Data Sheet'!C61</f>
        <v>5595.58</v>
      </c>
      <c r="D48" s="70">
        <f>'Data Sheet'!D61</f>
        <v>6611.83</v>
      </c>
      <c r="E48" s="70">
        <f>'Data Sheet'!E61</f>
        <v>8329.74</v>
      </c>
      <c r="F48" s="70">
        <f>'Data Sheet'!F61</f>
        <v>9562.98</v>
      </c>
      <c r="G48" s="70">
        <f>'Data Sheet'!G61</f>
        <v>9694.2800000000007</v>
      </c>
      <c r="H48" s="74">
        <f>-H8*H37/365</f>
        <v>10880.756687771003</v>
      </c>
      <c r="I48" s="74">
        <f t="shared" ref="I48:Q48" si="32">-I8*I37/365</f>
        <v>12111.119958398833</v>
      </c>
      <c r="J48" s="74">
        <f t="shared" si="32"/>
        <v>13639.855279696556</v>
      </c>
      <c r="K48" s="74">
        <f t="shared" si="32"/>
        <v>14981.741157361217</v>
      </c>
      <c r="L48" s="74">
        <f t="shared" si="32"/>
        <v>16471.036053417105</v>
      </c>
      <c r="M48" s="74">
        <f t="shared" si="32"/>
        <v>17976.383164014645</v>
      </c>
      <c r="N48" s="74">
        <f t="shared" si="32"/>
        <v>19338.373652764079</v>
      </c>
      <c r="O48" s="74">
        <f t="shared" si="32"/>
        <v>20717.970638331339</v>
      </c>
      <c r="P48" s="74">
        <f t="shared" si="32"/>
        <v>22136.151078576946</v>
      </c>
      <c r="Q48" s="74">
        <f t="shared" si="32"/>
        <v>23581.083707092435</v>
      </c>
    </row>
    <row r="49" spans="2:17">
      <c r="B49" s="57" t="s">
        <v>176</v>
      </c>
      <c r="C49" s="70">
        <f>'Data Sheet'!C71</f>
        <v>1611.33</v>
      </c>
      <c r="D49" s="70">
        <f>'Data Sheet'!D71</f>
        <v>1818.28</v>
      </c>
      <c r="E49" s="70">
        <f>'Data Sheet'!E71</f>
        <v>1948.23</v>
      </c>
      <c r="F49" s="70">
        <f>'Data Sheet'!F71</f>
        <v>2247.21</v>
      </c>
      <c r="G49" s="70">
        <f>'Data Sheet'!G71</f>
        <v>2645.06</v>
      </c>
      <c r="H49" s="74">
        <f>G49</f>
        <v>2645.06</v>
      </c>
      <c r="I49" s="74">
        <f t="shared" ref="I49:Q49" si="33">H49</f>
        <v>2645.06</v>
      </c>
      <c r="J49" s="74">
        <f t="shared" si="33"/>
        <v>2645.06</v>
      </c>
      <c r="K49" s="74">
        <f t="shared" si="33"/>
        <v>2645.06</v>
      </c>
      <c r="L49" s="74">
        <f t="shared" si="33"/>
        <v>2645.06</v>
      </c>
      <c r="M49" s="74">
        <f t="shared" si="33"/>
        <v>2645.06</v>
      </c>
      <c r="N49" s="74">
        <f t="shared" si="33"/>
        <v>2645.06</v>
      </c>
      <c r="O49" s="74">
        <f t="shared" si="33"/>
        <v>2645.06</v>
      </c>
      <c r="P49" s="74">
        <f t="shared" si="33"/>
        <v>2645.06</v>
      </c>
      <c r="Q49" s="74">
        <f t="shared" si="33"/>
        <v>2645.06</v>
      </c>
    </row>
    <row r="50" spans="2:17">
      <c r="B50" s="50"/>
      <c r="C50" s="70"/>
      <c r="D50" s="70"/>
      <c r="E50" s="70"/>
      <c r="F50" s="70"/>
      <c r="G50" s="70"/>
      <c r="H50" s="74"/>
      <c r="I50" s="74"/>
      <c r="J50" s="74"/>
      <c r="K50" s="74"/>
      <c r="L50" s="74"/>
      <c r="M50" s="74"/>
      <c r="N50" s="74"/>
      <c r="O50" s="74"/>
      <c r="P50" s="74"/>
      <c r="Q50" s="74"/>
    </row>
    <row r="51" spans="2:17">
      <c r="B51" s="53" t="s">
        <v>177</v>
      </c>
      <c r="C51" s="70"/>
      <c r="D51" s="70"/>
      <c r="E51" s="70"/>
      <c r="F51" s="70"/>
      <c r="G51" s="70"/>
      <c r="H51" s="74"/>
      <c r="I51" s="74"/>
      <c r="J51" s="74"/>
      <c r="K51" s="74"/>
      <c r="L51" s="74"/>
      <c r="M51" s="74"/>
      <c r="N51" s="74"/>
      <c r="O51" s="74"/>
      <c r="P51" s="74"/>
      <c r="Q51" s="74"/>
    </row>
    <row r="52" spans="2:17">
      <c r="B52" s="57" t="s">
        <v>178</v>
      </c>
      <c r="C52" s="70">
        <f>SUM('Data Sheet'!C43:C45)</f>
        <v>48548.04</v>
      </c>
      <c r="D52" s="70">
        <f>SUM('Data Sheet'!D43:D45)</f>
        <v>51705.55</v>
      </c>
      <c r="E52" s="70">
        <f>SUM('Data Sheet'!E43:E45)</f>
        <v>57825.13</v>
      </c>
      <c r="F52" s="70">
        <f>SUM('Data Sheet'!F43:F45)</f>
        <v>83039.19</v>
      </c>
      <c r="G52" s="70">
        <f>SUM('Data Sheet'!G43:G45)</f>
        <v>89273.59</v>
      </c>
      <c r="H52" s="74">
        <f>H121</f>
        <v>94218.834011609884</v>
      </c>
      <c r="I52" s="74">
        <f t="shared" ref="I52:Q52" si="34">I121</f>
        <v>99380.655490833582</v>
      </c>
      <c r="J52" s="74">
        <f t="shared" si="34"/>
        <v>102693.86515790813</v>
      </c>
      <c r="K52" s="74">
        <f t="shared" si="34"/>
        <v>106265.91964925996</v>
      </c>
      <c r="L52" s="74">
        <f t="shared" si="34"/>
        <v>109612.57031244515</v>
      </c>
      <c r="M52" s="74">
        <f t="shared" si="34"/>
        <v>113235.82374712122</v>
      </c>
      <c r="N52" s="74">
        <f t="shared" si="34"/>
        <v>116579.13574974313</v>
      </c>
      <c r="O52" s="74">
        <f t="shared" si="34"/>
        <v>120170.55185921975</v>
      </c>
      <c r="P52" s="74">
        <f t="shared" si="34"/>
        <v>123459.58556838022</v>
      </c>
      <c r="Q52" s="74">
        <f t="shared" si="34"/>
        <v>127005.78370285805</v>
      </c>
    </row>
    <row r="53" spans="2:17">
      <c r="B53" s="57" t="s">
        <v>229</v>
      </c>
      <c r="C53" s="70">
        <f>SUM('Data Sheet'!C46:C48)</f>
        <v>11724.199999999999</v>
      </c>
      <c r="D53" s="70">
        <f>SUM('Data Sheet'!D46:D48)</f>
        <v>11913.84</v>
      </c>
      <c r="E53" s="70">
        <f>SUM('Data Sheet'!E46:E48)</f>
        <v>11863.66</v>
      </c>
      <c r="F53" s="70">
        <f>SUM('Data Sheet'!F46:F48)</f>
        <v>17759.219999999998</v>
      </c>
      <c r="G53" s="70">
        <f>SUM('Data Sheet'!G46:G48)</f>
        <v>18262.230000000003</v>
      </c>
      <c r="H53" s="74">
        <f>G53</f>
        <v>18262.230000000003</v>
      </c>
      <c r="I53" s="74">
        <f t="shared" ref="I53:Q53" si="35">H53</f>
        <v>18262.230000000003</v>
      </c>
      <c r="J53" s="74">
        <f t="shared" si="35"/>
        <v>18262.230000000003</v>
      </c>
      <c r="K53" s="74">
        <f t="shared" si="35"/>
        <v>18262.230000000003</v>
      </c>
      <c r="L53" s="74">
        <f t="shared" si="35"/>
        <v>18262.230000000003</v>
      </c>
      <c r="M53" s="74">
        <f t="shared" si="35"/>
        <v>18262.230000000003</v>
      </c>
      <c r="N53" s="74">
        <f t="shared" si="35"/>
        <v>18262.230000000003</v>
      </c>
      <c r="O53" s="74">
        <f t="shared" si="35"/>
        <v>18262.230000000003</v>
      </c>
      <c r="P53" s="74">
        <f t="shared" si="35"/>
        <v>18262.230000000003</v>
      </c>
      <c r="Q53" s="74">
        <f t="shared" si="35"/>
        <v>18262.230000000003</v>
      </c>
    </row>
    <row r="54" spans="2:17">
      <c r="B54" s="57" t="s">
        <v>52</v>
      </c>
      <c r="C54" s="70">
        <f>SUM('Data Sheet'!C52:C54,'Data Sheet'!C63,'Data Sheet'!C67:C68,'Data Sheet'!C73)</f>
        <v>9313.51</v>
      </c>
      <c r="D54" s="70">
        <f>SUM('Data Sheet'!D52:D54,'Data Sheet'!D63,'Data Sheet'!D67:D68,'Data Sheet'!D73)</f>
        <v>9770.7800000000007</v>
      </c>
      <c r="E54" s="70">
        <f>SUM('Data Sheet'!E52:E54,'Data Sheet'!E63,'Data Sheet'!E67:E68,'Data Sheet'!E73)</f>
        <v>11079.71</v>
      </c>
      <c r="F54" s="70">
        <f>SUM('Data Sheet'!F52:F54,'Data Sheet'!F63,'Data Sheet'!F67:F68,'Data Sheet'!F73)</f>
        <v>9252.09</v>
      </c>
      <c r="G54" s="70">
        <f>SUM('Data Sheet'!G52:G54,'Data Sheet'!G63,'Data Sheet'!G67:G68,'Data Sheet'!G73)</f>
        <v>11195.630000000003</v>
      </c>
      <c r="H54" s="74">
        <f t="shared" ref="H54:Q56" si="36">G54</f>
        <v>11195.630000000003</v>
      </c>
      <c r="I54" s="74">
        <f t="shared" si="36"/>
        <v>11195.630000000003</v>
      </c>
      <c r="J54" s="74">
        <f t="shared" si="36"/>
        <v>11195.630000000003</v>
      </c>
      <c r="K54" s="74">
        <f t="shared" si="36"/>
        <v>11195.630000000003</v>
      </c>
      <c r="L54" s="74">
        <f t="shared" si="36"/>
        <v>11195.630000000003</v>
      </c>
      <c r="M54" s="74">
        <f t="shared" si="36"/>
        <v>11195.630000000003</v>
      </c>
      <c r="N54" s="74">
        <f t="shared" si="36"/>
        <v>11195.630000000003</v>
      </c>
      <c r="O54" s="74">
        <f t="shared" si="36"/>
        <v>11195.630000000003</v>
      </c>
      <c r="P54" s="74">
        <f t="shared" si="36"/>
        <v>11195.630000000003</v>
      </c>
      <c r="Q54" s="74">
        <f t="shared" si="36"/>
        <v>11195.630000000003</v>
      </c>
    </row>
    <row r="55" spans="2:17">
      <c r="B55" s="50" t="s">
        <v>179</v>
      </c>
      <c r="C55" s="70">
        <f>'Data Sheet'!C50</f>
        <v>30.17</v>
      </c>
      <c r="D55" s="70">
        <f>'Data Sheet'!D50</f>
        <v>876.01</v>
      </c>
      <c r="E55" s="70">
        <f>'Data Sheet'!E50</f>
        <v>968.94</v>
      </c>
      <c r="F55" s="70">
        <f>'Data Sheet'!F50</f>
        <v>300.12</v>
      </c>
      <c r="G55" s="70">
        <f>'Data Sheet'!G50</f>
        <v>319.41000000000003</v>
      </c>
      <c r="H55" s="74">
        <f t="shared" si="36"/>
        <v>319.41000000000003</v>
      </c>
      <c r="I55" s="74">
        <f t="shared" si="36"/>
        <v>319.41000000000003</v>
      </c>
      <c r="J55" s="74">
        <f t="shared" si="36"/>
        <v>319.41000000000003</v>
      </c>
      <c r="K55" s="74">
        <f t="shared" si="36"/>
        <v>319.41000000000003</v>
      </c>
      <c r="L55" s="74">
        <f t="shared" si="36"/>
        <v>319.41000000000003</v>
      </c>
      <c r="M55" s="74">
        <f t="shared" si="36"/>
        <v>319.41000000000003</v>
      </c>
      <c r="N55" s="74">
        <f t="shared" si="36"/>
        <v>319.41000000000003</v>
      </c>
      <c r="O55" s="74">
        <f t="shared" si="36"/>
        <v>319.41000000000003</v>
      </c>
      <c r="P55" s="74">
        <f t="shared" si="36"/>
        <v>319.41000000000003</v>
      </c>
      <c r="Q55" s="74">
        <f t="shared" si="36"/>
        <v>319.41000000000003</v>
      </c>
    </row>
    <row r="56" spans="2:17">
      <c r="B56" s="57" t="s">
        <v>180</v>
      </c>
      <c r="C56" s="70">
        <f>SUM('Data Sheet'!C56:C58,'Data Sheet'!C70)</f>
        <v>3574.17</v>
      </c>
      <c r="D56" s="70">
        <f>SUM('Data Sheet'!D56:D58,'Data Sheet'!D70)</f>
        <v>3674.06</v>
      </c>
      <c r="E56" s="70">
        <f>SUM('Data Sheet'!E56:E58,'Data Sheet'!E70)</f>
        <v>3725.23</v>
      </c>
      <c r="F56" s="70">
        <f>SUM('Data Sheet'!F56:F58,'Data Sheet'!F70)</f>
        <v>3972.77</v>
      </c>
      <c r="G56" s="70">
        <f>SUM('Data Sheet'!G56:G58,'Data Sheet'!G70)</f>
        <v>2572.75</v>
      </c>
      <c r="H56" s="74">
        <f t="shared" si="36"/>
        <v>2572.75</v>
      </c>
      <c r="I56" s="74">
        <f t="shared" si="36"/>
        <v>2572.75</v>
      </c>
      <c r="J56" s="74">
        <f t="shared" si="36"/>
        <v>2572.75</v>
      </c>
      <c r="K56" s="74">
        <f t="shared" si="36"/>
        <v>2572.75</v>
      </c>
      <c r="L56" s="74">
        <f t="shared" si="36"/>
        <v>2572.75</v>
      </c>
      <c r="M56" s="74">
        <f t="shared" si="36"/>
        <v>2572.75</v>
      </c>
      <c r="N56" s="74">
        <f t="shared" si="36"/>
        <v>2572.75</v>
      </c>
      <c r="O56" s="74">
        <f t="shared" si="36"/>
        <v>2572.75</v>
      </c>
      <c r="P56" s="74">
        <f t="shared" si="36"/>
        <v>2572.75</v>
      </c>
      <c r="Q56" s="74">
        <f t="shared" si="36"/>
        <v>2572.75</v>
      </c>
    </row>
    <row r="57" spans="2:17" ht="15" thickBot="1">
      <c r="B57" s="55" t="s">
        <v>181</v>
      </c>
      <c r="C57" s="75">
        <f t="shared" ref="C57:H57" si="37">SUM(C45:C56)</f>
        <v>83827.789999999994</v>
      </c>
      <c r="D57" s="75">
        <f t="shared" si="37"/>
        <v>91386.959999999992</v>
      </c>
      <c r="E57" s="75">
        <f t="shared" si="37"/>
        <v>100802.01</v>
      </c>
      <c r="F57" s="75">
        <f t="shared" si="37"/>
        <v>133697.15</v>
      </c>
      <c r="G57" s="75">
        <f t="shared" si="37"/>
        <v>141376.05000000002</v>
      </c>
      <c r="H57" s="75">
        <f t="shared" si="37"/>
        <v>148659.55248947637</v>
      </c>
      <c r="I57" s="75">
        <f t="shared" ref="I57:Q57" si="38">SUM(I45:I56)</f>
        <v>156682.0992144105</v>
      </c>
      <c r="J57" s="75">
        <f t="shared" si="38"/>
        <v>164595.47501566203</v>
      </c>
      <c r="K57" s="75">
        <f t="shared" si="38"/>
        <v>173629.73764293015</v>
      </c>
      <c r="L57" s="75">
        <f t="shared" si="38"/>
        <v>184076.50154590607</v>
      </c>
      <c r="M57" s="75">
        <f t="shared" si="38"/>
        <v>195897.93048783456</v>
      </c>
      <c r="N57" s="75">
        <f t="shared" si="38"/>
        <v>209226.83558622361</v>
      </c>
      <c r="O57" s="75">
        <f t="shared" si="38"/>
        <v>223739.76882196945</v>
      </c>
      <c r="P57" s="75">
        <f t="shared" si="38"/>
        <v>239955.44090578449</v>
      </c>
      <c r="Q57" s="75">
        <f t="shared" si="38"/>
        <v>257364.71591362261</v>
      </c>
    </row>
    <row r="58" spans="2:17">
      <c r="B58" s="50"/>
      <c r="C58" s="74"/>
      <c r="D58" s="74"/>
      <c r="E58" s="74"/>
      <c r="F58" s="74"/>
      <c r="G58" s="74"/>
      <c r="H58" s="74"/>
      <c r="I58" s="74"/>
      <c r="J58" s="74"/>
      <c r="K58" s="74"/>
      <c r="L58" s="74"/>
      <c r="M58" s="74"/>
      <c r="N58" s="74"/>
      <c r="O58" s="74"/>
      <c r="P58" s="74"/>
      <c r="Q58" s="74"/>
    </row>
    <row r="59" spans="2:17">
      <c r="B59" s="53" t="s">
        <v>75</v>
      </c>
      <c r="C59" s="74"/>
      <c r="D59" s="74"/>
      <c r="E59" s="74"/>
      <c r="F59" s="74"/>
      <c r="G59" s="74"/>
      <c r="H59" s="74"/>
      <c r="I59" s="74"/>
      <c r="J59" s="74"/>
      <c r="K59" s="74"/>
      <c r="L59" s="74"/>
      <c r="M59" s="74"/>
      <c r="N59" s="74"/>
      <c r="O59" s="74"/>
      <c r="P59" s="74"/>
      <c r="Q59" s="74"/>
    </row>
    <row r="60" spans="2:17">
      <c r="B60" s="50" t="s">
        <v>182</v>
      </c>
      <c r="C60" s="70">
        <f>SUM('Data Sheet'!C98:C99)</f>
        <v>5862.83</v>
      </c>
      <c r="D60" s="70">
        <f>SUM('Data Sheet'!D98:D99)</f>
        <v>7209.2999999999993</v>
      </c>
      <c r="E60" s="70">
        <f>SUM('Data Sheet'!E98:E99)</f>
        <v>8478.33</v>
      </c>
      <c r="F60" s="70">
        <f>SUM('Data Sheet'!F98:F99)</f>
        <v>9327.48</v>
      </c>
      <c r="G60" s="70">
        <f>SUM('Data Sheet'!G98:G99)</f>
        <v>10236.710000000001</v>
      </c>
      <c r="H60" s="74">
        <f>-H8*H38/365</f>
        <v>10937.533729963083</v>
      </c>
      <c r="I60" s="74">
        <f t="shared" ref="I60:Q60" si="39">-I8*I38/365</f>
        <v>12238.212109434451</v>
      </c>
      <c r="J60" s="74">
        <f t="shared" si="39"/>
        <v>13746.728552933775</v>
      </c>
      <c r="K60" s="74">
        <f t="shared" si="39"/>
        <v>15118.964770014976</v>
      </c>
      <c r="L60" s="74">
        <f t="shared" si="39"/>
        <v>16610.975342498121</v>
      </c>
      <c r="M60" s="74">
        <f t="shared" si="39"/>
        <v>18135.068099250107</v>
      </c>
      <c r="N60" s="74">
        <f t="shared" si="39"/>
        <v>19505.876191123058</v>
      </c>
      <c r="O60" s="74">
        <f t="shared" si="39"/>
        <v>20899.139319788825</v>
      </c>
      <c r="P60" s="74">
        <f t="shared" si="39"/>
        <v>22328.803936077438</v>
      </c>
      <c r="Q60" s="74">
        <f t="shared" si="39"/>
        <v>23786.800407019942</v>
      </c>
    </row>
    <row r="61" spans="2:17">
      <c r="B61" s="50" t="s">
        <v>183</v>
      </c>
      <c r="C61" s="70">
        <f>SUM('Data Sheet'!C101:C105)</f>
        <v>9274.7599999999984</v>
      </c>
      <c r="D61" s="70">
        <f>SUM('Data Sheet'!D101:D105)</f>
        <v>11531.81</v>
      </c>
      <c r="E61" s="70">
        <f>SUM('Data Sheet'!E101:E105)</f>
        <v>13274.57</v>
      </c>
      <c r="F61" s="70">
        <f>SUM('Data Sheet'!F101:F105)</f>
        <v>15584.289999999999</v>
      </c>
      <c r="G61" s="70">
        <f>SUM('Data Sheet'!G101:G105)</f>
        <v>15610.44</v>
      </c>
      <c r="H61" s="74">
        <f>G61</f>
        <v>15610.44</v>
      </c>
      <c r="I61" s="74">
        <f t="shared" ref="I61:Q61" si="40">H61</f>
        <v>15610.44</v>
      </c>
      <c r="J61" s="74">
        <f t="shared" si="40"/>
        <v>15610.44</v>
      </c>
      <c r="K61" s="74">
        <f t="shared" si="40"/>
        <v>15610.44</v>
      </c>
      <c r="L61" s="74">
        <f t="shared" si="40"/>
        <v>15610.44</v>
      </c>
      <c r="M61" s="74">
        <f t="shared" si="40"/>
        <v>15610.44</v>
      </c>
      <c r="N61" s="74">
        <f t="shared" si="40"/>
        <v>15610.44</v>
      </c>
      <c r="O61" s="74">
        <f t="shared" si="40"/>
        <v>15610.44</v>
      </c>
      <c r="P61" s="74">
        <f t="shared" si="40"/>
        <v>15610.44</v>
      </c>
      <c r="Q61" s="74">
        <f t="shared" si="40"/>
        <v>15610.44</v>
      </c>
    </row>
    <row r="62" spans="2:17">
      <c r="B62" s="50"/>
      <c r="C62" s="70"/>
      <c r="D62" s="70"/>
      <c r="E62" s="70"/>
      <c r="F62" s="70"/>
      <c r="G62" s="70"/>
      <c r="H62" s="74"/>
      <c r="I62" s="74"/>
      <c r="J62" s="74"/>
      <c r="K62" s="74"/>
      <c r="L62" s="74"/>
      <c r="M62" s="74"/>
      <c r="N62" s="74"/>
      <c r="O62" s="74"/>
      <c r="P62" s="74"/>
      <c r="Q62" s="74"/>
    </row>
    <row r="63" spans="2:17">
      <c r="B63" s="53" t="s">
        <v>184</v>
      </c>
      <c r="C63" s="70"/>
      <c r="D63" s="70"/>
      <c r="E63" s="70"/>
      <c r="F63" s="70"/>
      <c r="G63" s="70"/>
      <c r="H63" s="74"/>
      <c r="I63" s="74"/>
      <c r="J63" s="74"/>
      <c r="K63" s="74"/>
      <c r="L63" s="74"/>
      <c r="M63" s="74"/>
      <c r="N63" s="74"/>
      <c r="O63" s="74"/>
      <c r="P63" s="74"/>
      <c r="Q63" s="74"/>
    </row>
    <row r="64" spans="2:17">
      <c r="B64" s="50" t="s">
        <v>227</v>
      </c>
      <c r="C64" s="70">
        <f>SUM('Data Sheet'!C85:C86,'Data Sheet'!C95:C96)</f>
        <v>11298.800000000001</v>
      </c>
      <c r="D64" s="70">
        <f>SUM('Data Sheet'!D85:D86,'Data Sheet'!D95:D96)</f>
        <v>11057.74</v>
      </c>
      <c r="E64" s="70">
        <f>SUM('Data Sheet'!E85:E86,'Data Sheet'!E95:E96)</f>
        <v>11402.95</v>
      </c>
      <c r="F64" s="70">
        <f>SUM('Data Sheet'!F85:F86,'Data Sheet'!F95:F96)</f>
        <v>24102.18</v>
      </c>
      <c r="G64" s="70">
        <f>SUM('Data Sheet'!G85:G86,'Data Sheet'!G95:G96)</f>
        <v>23755.089999999997</v>
      </c>
      <c r="H64" s="74">
        <f>H126</f>
        <v>23755.089999999997</v>
      </c>
      <c r="I64" s="74">
        <f t="shared" ref="I64:Q64" si="41">I126</f>
        <v>22755.089999999997</v>
      </c>
      <c r="J64" s="74">
        <f t="shared" si="41"/>
        <v>20255.089999999997</v>
      </c>
      <c r="K64" s="74">
        <f t="shared" si="41"/>
        <v>17755.089999999997</v>
      </c>
      <c r="L64" s="74">
        <f t="shared" si="41"/>
        <v>15255.089999999997</v>
      </c>
      <c r="M64" s="74">
        <f t="shared" si="41"/>
        <v>12755.089999999997</v>
      </c>
      <c r="N64" s="74">
        <f t="shared" si="41"/>
        <v>10755.089999999997</v>
      </c>
      <c r="O64" s="74">
        <f t="shared" si="41"/>
        <v>8755.0899999999965</v>
      </c>
      <c r="P64" s="74">
        <f t="shared" si="41"/>
        <v>7255.0899999999965</v>
      </c>
      <c r="Q64" s="74">
        <f t="shared" si="41"/>
        <v>5755.0899999999965</v>
      </c>
    </row>
    <row r="65" spans="1:17">
      <c r="B65" s="50" t="s">
        <v>185</v>
      </c>
      <c r="C65" s="70">
        <f>SUM('Data Sheet'!C87:C89,'Data Sheet'!C91)</f>
        <v>925.95</v>
      </c>
      <c r="D65" s="70">
        <f>SUM('Data Sheet'!D87:D89,'Data Sheet'!D91)</f>
        <v>947.82999999999993</v>
      </c>
      <c r="E65" s="70">
        <f>SUM('Data Sheet'!E87:E89,'Data Sheet'!E91)</f>
        <v>914.96</v>
      </c>
      <c r="F65" s="70">
        <f>SUM('Data Sheet'!F87:F89,'Data Sheet'!F91)</f>
        <v>1210.4000000000001</v>
      </c>
      <c r="G65" s="70">
        <f>SUM('Data Sheet'!G87:G89,'Data Sheet'!G91)</f>
        <v>1171.31</v>
      </c>
      <c r="H65" s="74">
        <f>G65</f>
        <v>1171.31</v>
      </c>
      <c r="I65" s="74">
        <f t="shared" ref="I65:Q65" si="42">H65</f>
        <v>1171.31</v>
      </c>
      <c r="J65" s="74">
        <f t="shared" si="42"/>
        <v>1171.31</v>
      </c>
      <c r="K65" s="74">
        <f t="shared" si="42"/>
        <v>1171.31</v>
      </c>
      <c r="L65" s="74">
        <f t="shared" si="42"/>
        <v>1171.31</v>
      </c>
      <c r="M65" s="74">
        <f t="shared" si="42"/>
        <v>1171.31</v>
      </c>
      <c r="N65" s="74">
        <f t="shared" si="42"/>
        <v>1171.31</v>
      </c>
      <c r="O65" s="74">
        <f t="shared" si="42"/>
        <v>1171.31</v>
      </c>
      <c r="P65" s="74">
        <f t="shared" si="42"/>
        <v>1171.31</v>
      </c>
      <c r="Q65" s="74">
        <f t="shared" si="42"/>
        <v>1171.31</v>
      </c>
    </row>
    <row r="66" spans="1:17" s="50" customFormat="1">
      <c r="B66" s="50" t="s">
        <v>192</v>
      </c>
      <c r="C66" s="70">
        <f>'Data Sheet'!C90</f>
        <v>6033.24</v>
      </c>
      <c r="D66" s="70">
        <f>'Data Sheet'!D90</f>
        <v>6260.11</v>
      </c>
      <c r="E66" s="70">
        <f>'Data Sheet'!E90</f>
        <v>6447.78</v>
      </c>
      <c r="F66" s="70">
        <f>'Data Sheet'!F90</f>
        <v>9579.44</v>
      </c>
      <c r="G66" s="70">
        <f>'Data Sheet'!G90</f>
        <v>9890.06</v>
      </c>
      <c r="H66" s="74">
        <f>G66</f>
        <v>9890.06</v>
      </c>
      <c r="I66" s="74">
        <f t="shared" ref="I66:Q66" si="43">H66</f>
        <v>9890.06</v>
      </c>
      <c r="J66" s="74">
        <f t="shared" si="43"/>
        <v>9890.06</v>
      </c>
      <c r="K66" s="74">
        <f t="shared" si="43"/>
        <v>9890.06</v>
      </c>
      <c r="L66" s="74">
        <f t="shared" si="43"/>
        <v>9890.06</v>
      </c>
      <c r="M66" s="74">
        <f t="shared" si="43"/>
        <v>9890.06</v>
      </c>
      <c r="N66" s="74">
        <f t="shared" si="43"/>
        <v>9890.06</v>
      </c>
      <c r="O66" s="74">
        <f t="shared" si="43"/>
        <v>9890.06</v>
      </c>
      <c r="P66" s="74">
        <f t="shared" si="43"/>
        <v>9890.06</v>
      </c>
      <c r="Q66" s="74">
        <f t="shared" si="43"/>
        <v>9890.06</v>
      </c>
    </row>
    <row r="67" spans="1:17">
      <c r="B67" s="54" t="s">
        <v>186</v>
      </c>
      <c r="C67" s="71">
        <f t="shared" ref="C67:H67" si="44">SUM(C60:C66)</f>
        <v>33395.58</v>
      </c>
      <c r="D67" s="71">
        <f t="shared" si="44"/>
        <v>37006.79</v>
      </c>
      <c r="E67" s="71">
        <f t="shared" si="44"/>
        <v>40518.590000000004</v>
      </c>
      <c r="F67" s="71">
        <f t="shared" si="44"/>
        <v>59803.79</v>
      </c>
      <c r="G67" s="71">
        <f t="shared" si="44"/>
        <v>60663.609999999993</v>
      </c>
      <c r="H67" s="71">
        <f t="shared" si="44"/>
        <v>61364.433729963072</v>
      </c>
      <c r="I67" s="71">
        <f t="shared" ref="I67:Q67" si="45">SUM(I60:I66)</f>
        <v>61665.112109434442</v>
      </c>
      <c r="J67" s="71">
        <f t="shared" si="45"/>
        <v>60673.628552933769</v>
      </c>
      <c r="K67" s="71">
        <f t="shared" si="45"/>
        <v>59545.864770014967</v>
      </c>
      <c r="L67" s="71">
        <f t="shared" si="45"/>
        <v>58537.875342498111</v>
      </c>
      <c r="M67" s="71">
        <f t="shared" si="45"/>
        <v>57561.968099250102</v>
      </c>
      <c r="N67" s="71">
        <f t="shared" si="45"/>
        <v>56932.776191123048</v>
      </c>
      <c r="O67" s="71">
        <f t="shared" si="45"/>
        <v>56326.039319788819</v>
      </c>
      <c r="P67" s="71">
        <f t="shared" si="45"/>
        <v>56255.703936077429</v>
      </c>
      <c r="Q67" s="71">
        <f t="shared" si="45"/>
        <v>56213.700407019933</v>
      </c>
    </row>
    <row r="68" spans="1:17">
      <c r="B68" s="50"/>
      <c r="C68" s="74"/>
      <c r="D68" s="74"/>
      <c r="E68" s="74"/>
      <c r="F68" s="74"/>
      <c r="G68" s="74"/>
    </row>
    <row r="69" spans="1:17">
      <c r="B69" s="53" t="s">
        <v>187</v>
      </c>
      <c r="C69" s="74"/>
      <c r="D69" s="74"/>
      <c r="E69" s="74"/>
      <c r="F69" s="74"/>
      <c r="G69" s="74"/>
    </row>
    <row r="70" spans="1:17">
      <c r="B70" s="50" t="s">
        <v>62</v>
      </c>
      <c r="C70" s="70">
        <f>'Data Sheet'!C77</f>
        <v>288.67</v>
      </c>
      <c r="D70" s="70">
        <f>'Data Sheet'!D77</f>
        <v>288.69</v>
      </c>
      <c r="E70" s="70">
        <f>'Data Sheet'!E77</f>
        <v>288.69</v>
      </c>
      <c r="F70" s="70">
        <f>'Data Sheet'!F77</f>
        <v>294.68</v>
      </c>
      <c r="G70" s="70">
        <f>'Data Sheet'!G77</f>
        <v>294.68</v>
      </c>
      <c r="H70" s="74">
        <f>G70</f>
        <v>294.68</v>
      </c>
      <c r="I70" s="74">
        <f t="shared" ref="I70:Q70" si="46">H70</f>
        <v>294.68</v>
      </c>
      <c r="J70" s="74">
        <f t="shared" si="46"/>
        <v>294.68</v>
      </c>
      <c r="K70" s="74">
        <f t="shared" si="46"/>
        <v>294.68</v>
      </c>
      <c r="L70" s="74">
        <f t="shared" si="46"/>
        <v>294.68</v>
      </c>
      <c r="M70" s="74">
        <f t="shared" si="46"/>
        <v>294.68</v>
      </c>
      <c r="N70" s="74">
        <f t="shared" si="46"/>
        <v>294.68</v>
      </c>
      <c r="O70" s="74">
        <f t="shared" si="46"/>
        <v>294.68</v>
      </c>
      <c r="P70" s="74">
        <f t="shared" si="46"/>
        <v>294.68</v>
      </c>
      <c r="Q70" s="74">
        <f t="shared" si="46"/>
        <v>294.68</v>
      </c>
    </row>
    <row r="71" spans="1:17">
      <c r="B71" s="56" t="s">
        <v>188</v>
      </c>
      <c r="C71" s="70">
        <f>'Data Sheet'!C78</f>
        <v>50146.6</v>
      </c>
      <c r="D71" s="70">
        <f>'Data Sheet'!D78</f>
        <v>54035.85</v>
      </c>
      <c r="E71" s="70">
        <f>'Data Sheet'!E78</f>
        <v>59938.78</v>
      </c>
      <c r="F71" s="70">
        <f>'Data Sheet'!F78</f>
        <v>70411.53</v>
      </c>
      <c r="G71" s="70">
        <f>'Data Sheet'!G78</f>
        <v>76328.86</v>
      </c>
      <c r="H71" s="74">
        <f>G71+H22+H99</f>
        <v>82886.265236712978</v>
      </c>
      <c r="I71" s="74">
        <f t="shared" ref="I71:Q71" si="47">H71+I22+I99</f>
        <v>90578.486257306999</v>
      </c>
      <c r="J71" s="74">
        <f t="shared" si="47"/>
        <v>99449.156317019049</v>
      </c>
      <c r="K71" s="74">
        <f t="shared" si="47"/>
        <v>109572.16666466394</v>
      </c>
      <c r="L71" s="74">
        <f t="shared" si="47"/>
        <v>120982.94063963195</v>
      </c>
      <c r="M71" s="74">
        <f t="shared" si="47"/>
        <v>133731.14275953273</v>
      </c>
      <c r="N71" s="74">
        <f t="shared" si="47"/>
        <v>147635.64907814944</v>
      </c>
      <c r="O71" s="74">
        <f t="shared" si="47"/>
        <v>162697.26875604337</v>
      </c>
      <c r="P71" s="74">
        <f t="shared" si="47"/>
        <v>178920.7477612076</v>
      </c>
      <c r="Q71" s="74">
        <f t="shared" si="47"/>
        <v>196305.02389648074</v>
      </c>
    </row>
    <row r="72" spans="1:17">
      <c r="B72" s="54" t="s">
        <v>187</v>
      </c>
      <c r="C72" s="71">
        <f>SUM(C70:C71)</f>
        <v>50435.27</v>
      </c>
      <c r="D72" s="71">
        <f>SUM(D70:D71)</f>
        <v>54324.54</v>
      </c>
      <c r="E72" s="71">
        <f>SUM(E70:E71)</f>
        <v>60227.47</v>
      </c>
      <c r="F72" s="71">
        <f>SUM(F70:F71)</f>
        <v>70706.209999999992</v>
      </c>
      <c r="G72" s="71">
        <f>SUM(G70:G71)</f>
        <v>76623.539999999994</v>
      </c>
      <c r="H72" s="71">
        <f t="shared" ref="H72:Q72" si="48">SUM(H70:H71)</f>
        <v>83180.945236712971</v>
      </c>
      <c r="I72" s="71">
        <f t="shared" si="48"/>
        <v>90873.166257306992</v>
      </c>
      <c r="J72" s="71">
        <f t="shared" si="48"/>
        <v>99743.836317019042</v>
      </c>
      <c r="K72" s="71">
        <f t="shared" si="48"/>
        <v>109866.84666466393</v>
      </c>
      <c r="L72" s="71">
        <f t="shared" si="48"/>
        <v>121277.62063963195</v>
      </c>
      <c r="M72" s="71">
        <f t="shared" si="48"/>
        <v>134025.82275953272</v>
      </c>
      <c r="N72" s="71">
        <f t="shared" si="48"/>
        <v>147930.32907814943</v>
      </c>
      <c r="O72" s="71">
        <f t="shared" si="48"/>
        <v>162991.94875604336</v>
      </c>
      <c r="P72" s="71">
        <f t="shared" si="48"/>
        <v>179215.4277612076</v>
      </c>
      <c r="Q72" s="71">
        <f t="shared" si="48"/>
        <v>196599.70389648073</v>
      </c>
    </row>
    <row r="73" spans="1:17">
      <c r="B73" s="50" t="s">
        <v>189</v>
      </c>
      <c r="C73" s="70">
        <f>'Data Sheet'!C79</f>
        <v>-3.06</v>
      </c>
      <c r="D73" s="70">
        <f>'Data Sheet'!D79</f>
        <v>55.63</v>
      </c>
      <c r="E73" s="70">
        <f>'Data Sheet'!E79</f>
        <v>55.94</v>
      </c>
      <c r="F73" s="70">
        <f>'Data Sheet'!F79</f>
        <v>3186.59</v>
      </c>
      <c r="G73" s="70">
        <f>'Data Sheet'!G79</f>
        <v>4088.9</v>
      </c>
      <c r="H73" s="74">
        <f>G73-H21</f>
        <v>4114.1735228002999</v>
      </c>
      <c r="I73" s="74">
        <f t="shared" ref="I73:Q73" si="49">H73-I21</f>
        <v>4143.8208476690588</v>
      </c>
      <c r="J73" s="74">
        <f t="shared" si="49"/>
        <v>4178.0101457092169</v>
      </c>
      <c r="K73" s="74">
        <f t="shared" si="49"/>
        <v>4217.0262082512236</v>
      </c>
      <c r="L73" s="74">
        <f t="shared" si="49"/>
        <v>4261.0055637759988</v>
      </c>
      <c r="M73" s="74">
        <f t="shared" si="49"/>
        <v>4310.1396290517405</v>
      </c>
      <c r="N73" s="74">
        <f t="shared" si="49"/>
        <v>4363.7303169511251</v>
      </c>
      <c r="O73" s="74">
        <f t="shared" si="49"/>
        <v>4421.7807461372759</v>
      </c>
      <c r="P73" s="74">
        <f t="shared" si="49"/>
        <v>4484.3092084994314</v>
      </c>
      <c r="Q73" s="74">
        <f t="shared" si="49"/>
        <v>4551.311610121902</v>
      </c>
    </row>
    <row r="74" spans="1:17" ht="15" thickBot="1">
      <c r="B74" s="55" t="s">
        <v>190</v>
      </c>
      <c r="C74" s="75">
        <f>C67+C72+C73+'Data Sheet'!C81</f>
        <v>83827.790000000008</v>
      </c>
      <c r="D74" s="75">
        <f>D67+D72+D73+'Data Sheet'!D81</f>
        <v>91386.96</v>
      </c>
      <c r="E74" s="75">
        <f>E67+E72+E73+'Data Sheet'!E81</f>
        <v>100802.01</v>
      </c>
      <c r="F74" s="75">
        <f>F67+F72+F73+'Data Sheet'!F81</f>
        <v>133697.15</v>
      </c>
      <c r="G74" s="75">
        <f>G67+G72+G73+'Data Sheet'!G81</f>
        <v>141376.04999999999</v>
      </c>
      <c r="H74" s="75">
        <f>H67+H72+H73</f>
        <v>148659.55248947634</v>
      </c>
      <c r="I74" s="75">
        <f t="shared" ref="I74:Q74" si="50">I67+I72+I73</f>
        <v>156682.0992144105</v>
      </c>
      <c r="J74" s="75">
        <f t="shared" si="50"/>
        <v>164595.47501566203</v>
      </c>
      <c r="K74" s="75">
        <f t="shared" si="50"/>
        <v>173629.73764293012</v>
      </c>
      <c r="L74" s="75">
        <f t="shared" si="50"/>
        <v>184076.50154590607</v>
      </c>
      <c r="M74" s="75">
        <f t="shared" si="50"/>
        <v>195897.93048783456</v>
      </c>
      <c r="N74" s="75">
        <f t="shared" si="50"/>
        <v>209226.83558622358</v>
      </c>
      <c r="O74" s="75">
        <f t="shared" si="50"/>
        <v>223739.76882196948</v>
      </c>
      <c r="P74" s="75">
        <f t="shared" si="50"/>
        <v>239955.44090578446</v>
      </c>
      <c r="Q74" s="75">
        <f t="shared" si="50"/>
        <v>257364.71591362255</v>
      </c>
    </row>
    <row r="76" spans="1:17">
      <c r="B76" s="50" t="s">
        <v>191</v>
      </c>
      <c r="C76" s="76" t="str">
        <f>IF((C57-C74)&lt;0.01, "Correct",C57-C74)</f>
        <v>Correct</v>
      </c>
      <c r="D76" s="76" t="str">
        <f t="shared" ref="D76:Q76" si="51">IF((D57-D74)&lt;0.01, "Correct",D57-D74)</f>
        <v>Correct</v>
      </c>
      <c r="E76" s="76" t="str">
        <f t="shared" si="51"/>
        <v>Correct</v>
      </c>
      <c r="F76" s="76" t="str">
        <f t="shared" si="51"/>
        <v>Correct</v>
      </c>
      <c r="G76" s="76" t="str">
        <f t="shared" si="51"/>
        <v>Correct</v>
      </c>
      <c r="H76" s="76" t="str">
        <f t="shared" si="51"/>
        <v>Correct</v>
      </c>
      <c r="I76" s="76" t="str">
        <f t="shared" si="51"/>
        <v>Correct</v>
      </c>
      <c r="J76" s="76" t="str">
        <f t="shared" si="51"/>
        <v>Correct</v>
      </c>
      <c r="K76" s="76" t="str">
        <f t="shared" si="51"/>
        <v>Correct</v>
      </c>
      <c r="L76" s="76" t="str">
        <f t="shared" si="51"/>
        <v>Correct</v>
      </c>
      <c r="M76" s="76" t="str">
        <f t="shared" si="51"/>
        <v>Correct</v>
      </c>
      <c r="N76" s="76" t="str">
        <f t="shared" si="51"/>
        <v>Correct</v>
      </c>
      <c r="O76" s="76" t="str">
        <f t="shared" si="51"/>
        <v>Correct</v>
      </c>
      <c r="P76" s="76" t="str">
        <f t="shared" si="51"/>
        <v>Correct</v>
      </c>
      <c r="Q76" s="76" t="str">
        <f t="shared" si="51"/>
        <v>Correct</v>
      </c>
    </row>
    <row r="78" spans="1:17" ht="18.5">
      <c r="A78" s="50" t="s">
        <v>2</v>
      </c>
      <c r="B78" s="51" t="s">
        <v>85</v>
      </c>
      <c r="C78" s="58"/>
      <c r="D78" s="58"/>
      <c r="E78" s="58"/>
      <c r="F78" s="58"/>
      <c r="G78" s="58"/>
      <c r="H78" s="58"/>
      <c r="I78" s="58"/>
      <c r="J78" s="58"/>
      <c r="K78" s="58"/>
      <c r="L78" s="58"/>
      <c r="M78" s="58"/>
      <c r="N78" s="58"/>
      <c r="O78" s="40"/>
      <c r="P78" s="40"/>
      <c r="Q78" s="58"/>
    </row>
    <row r="80" spans="1:17">
      <c r="B80" s="64" t="s">
        <v>194</v>
      </c>
    </row>
    <row r="81" spans="2:17">
      <c r="B81" s="60" t="s">
        <v>195</v>
      </c>
      <c r="C81" s="59">
        <f t="shared" ref="C81:H81" si="52">C19</f>
        <v>7174.340000000002</v>
      </c>
      <c r="D81" s="59">
        <f t="shared" si="52"/>
        <v>5073.4000000000015</v>
      </c>
      <c r="E81" s="59">
        <f t="shared" si="52"/>
        <v>7003.9599999999973</v>
      </c>
      <c r="F81" s="59">
        <f t="shared" si="52"/>
        <v>6039.640000000004</v>
      </c>
      <c r="G81" s="59">
        <f t="shared" si="52"/>
        <v>8188.3499999999931</v>
      </c>
      <c r="H81" s="74">
        <f t="shared" si="52"/>
        <v>9112.6574382138533</v>
      </c>
      <c r="I81" s="74">
        <f t="shared" ref="I81:Q81" si="53">I19</f>
        <v>10689.68175205202</v>
      </c>
      <c r="J81" s="74">
        <f t="shared" si="53"/>
        <v>12327.342078693331</v>
      </c>
      <c r="K81" s="74">
        <f t="shared" si="53"/>
        <v>14067.687173749058</v>
      </c>
      <c r="L81" s="74">
        <f t="shared" si="53"/>
        <v>15857.259172668204</v>
      </c>
      <c r="M81" s="74">
        <f t="shared" si="53"/>
        <v>17715.84867461992</v>
      </c>
      <c r="N81" s="74">
        <f t="shared" si="53"/>
        <v>19322.734885994087</v>
      </c>
      <c r="O81" s="74">
        <f t="shared" si="53"/>
        <v>20930.745566993239</v>
      </c>
      <c r="P81" s="74">
        <f t="shared" si="53"/>
        <v>22545.351597673001</v>
      </c>
      <c r="Q81" s="74">
        <f t="shared" si="53"/>
        <v>24158.481520271238</v>
      </c>
    </row>
    <row r="82" spans="2:17" s="60" customFormat="1">
      <c r="B82" s="60" t="s">
        <v>223</v>
      </c>
      <c r="C82" s="59">
        <f>-C18+'Data Sheet'!C137</f>
        <v>-364.83000000000015</v>
      </c>
      <c r="D82" s="59">
        <f>-D18+'Data Sheet'!D137</f>
        <v>1218.54</v>
      </c>
      <c r="E82" s="59">
        <f>-E18+'Data Sheet'!E137</f>
        <v>767.74000000000024</v>
      </c>
      <c r="F82" s="59">
        <f>-F18+'Data Sheet'!F137</f>
        <v>187.8599999999999</v>
      </c>
      <c r="G82" s="59">
        <f>-G18+'Data Sheet'!G137</f>
        <v>1438.15</v>
      </c>
      <c r="H82" s="89">
        <v>0</v>
      </c>
      <c r="I82" s="89">
        <v>0</v>
      </c>
      <c r="J82" s="89">
        <v>0</v>
      </c>
      <c r="K82" s="89">
        <v>0</v>
      </c>
      <c r="L82" s="89">
        <v>0</v>
      </c>
      <c r="M82" s="89">
        <v>0</v>
      </c>
      <c r="N82" s="89">
        <v>0</v>
      </c>
      <c r="O82" s="89">
        <v>0</v>
      </c>
      <c r="P82" s="89">
        <v>0</v>
      </c>
      <c r="Q82" s="89">
        <v>0</v>
      </c>
    </row>
    <row r="83" spans="2:17">
      <c r="B83" s="60" t="s">
        <v>151</v>
      </c>
      <c r="C83" s="70">
        <f t="shared" ref="C83:H83" si="54">-C13</f>
        <v>2714.75</v>
      </c>
      <c r="D83" s="70">
        <f t="shared" si="54"/>
        <v>2887.99</v>
      </c>
      <c r="E83" s="70">
        <f t="shared" si="54"/>
        <v>3145.3</v>
      </c>
      <c r="F83" s="70">
        <f t="shared" si="54"/>
        <v>4014.95</v>
      </c>
      <c r="G83" s="70">
        <f t="shared" si="54"/>
        <v>4644.46</v>
      </c>
      <c r="H83" s="74">
        <f t="shared" si="54"/>
        <v>4993.1558558242195</v>
      </c>
      <c r="I83" s="74">
        <f t="shared" ref="I83:Q83" si="55">-I13</f>
        <v>5269.7480046898536</v>
      </c>
      <c r="J83" s="74">
        <f t="shared" si="55"/>
        <v>5558.4535350231254</v>
      </c>
      <c r="K83" s="74">
        <f t="shared" si="55"/>
        <v>5743.7644679734713</v>
      </c>
      <c r="L83" s="74">
        <f t="shared" si="55"/>
        <v>5943.5528354046073</v>
      </c>
      <c r="M83" s="74">
        <f t="shared" si="55"/>
        <v>6130.7341547206688</v>
      </c>
      <c r="N83" s="74">
        <f t="shared" si="55"/>
        <v>6333.3861272075828</v>
      </c>
      <c r="O83" s="74">
        <f t="shared" si="55"/>
        <v>6520.380712098131</v>
      </c>
      <c r="P83" s="74">
        <f t="shared" si="55"/>
        <v>6721.2519930417402</v>
      </c>
      <c r="Q83" s="74">
        <f t="shared" si="55"/>
        <v>6905.2107419270251</v>
      </c>
    </row>
    <row r="84" spans="2:17">
      <c r="B84" s="60" t="s">
        <v>196</v>
      </c>
      <c r="C84" s="70">
        <f>SUM('Data Sheet'!C115:C128)</f>
        <v>232.00000000000011</v>
      </c>
      <c r="D84" s="70">
        <f>SUM('Data Sheet'!D115:D128)</f>
        <v>225.53000000000003</v>
      </c>
      <c r="E84" s="70">
        <f>SUM('Data Sheet'!E115:E128)</f>
        <v>461.59000000000015</v>
      </c>
      <c r="F84" s="70">
        <f>SUM('Data Sheet'!F115:F128)</f>
        <v>1102.0499999999997</v>
      </c>
      <c r="G84" s="70">
        <f>SUM('Data Sheet'!G115:G128)</f>
        <v>1278.0700000000002</v>
      </c>
      <c r="H84" s="74">
        <f>-H15-H16</f>
        <v>1394.8085027567661</v>
      </c>
      <c r="I84" s="74">
        <f t="shared" ref="I84:Q84" si="56">-I15-I16</f>
        <v>1334.2945449588697</v>
      </c>
      <c r="J84" s="74">
        <f t="shared" si="56"/>
        <v>1194.5613933836198</v>
      </c>
      <c r="K84" s="74">
        <f t="shared" si="56"/>
        <v>938.90160786924889</v>
      </c>
      <c r="L84" s="74">
        <f t="shared" si="56"/>
        <v>680.57553678399563</v>
      </c>
      <c r="M84" s="74">
        <f t="shared" si="56"/>
        <v>419.53883473993426</v>
      </c>
      <c r="N84" s="74">
        <f t="shared" si="56"/>
        <v>165.77354159327763</v>
      </c>
      <c r="O84" s="74">
        <f t="shared" si="56"/>
        <v>-50.235891469328749</v>
      </c>
      <c r="P84" s="74">
        <f t="shared" si="56"/>
        <v>-267.58532686912497</v>
      </c>
      <c r="Q84" s="74">
        <f t="shared" si="56"/>
        <v>-447.14673806388305</v>
      </c>
    </row>
    <row r="85" spans="2:17">
      <c r="B85" s="60" t="s">
        <v>197</v>
      </c>
      <c r="C85" s="70">
        <f>SUM('Data Sheet'!C131:C135)</f>
        <v>-473.02</v>
      </c>
      <c r="D85" s="70">
        <f>SUM('Data Sheet'!D131:D135)</f>
        <v>-336.95000000000022</v>
      </c>
      <c r="E85" s="70">
        <f>SUM('Data Sheet'!E131:E135)</f>
        <v>-481.05000000000013</v>
      </c>
      <c r="F85" s="70">
        <f>SUM('Data Sheet'!F131:F135)</f>
        <v>-671.06999999999994</v>
      </c>
      <c r="G85" s="70">
        <f>SUM('Data Sheet'!G131:G135)</f>
        <v>-233.16999999999996</v>
      </c>
      <c r="H85" s="74">
        <f>H114</f>
        <v>-963.48930639181981</v>
      </c>
      <c r="I85" s="74">
        <f t="shared" ref="I85:Q85" si="57">I114</f>
        <v>-790.26719876740117</v>
      </c>
      <c r="J85" s="74">
        <f t="shared" si="57"/>
        <v>-879.29872277159666</v>
      </c>
      <c r="K85" s="74">
        <f t="shared" si="57"/>
        <v>-817.70177706538379</v>
      </c>
      <c r="L85" s="74">
        <f t="shared" si="57"/>
        <v>-877.99050723788605</v>
      </c>
      <c r="M85" s="74">
        <f t="shared" si="57"/>
        <v>-902.71509507061091</v>
      </c>
      <c r="N85" s="74">
        <f t="shared" si="57"/>
        <v>-808.98153010014903</v>
      </c>
      <c r="O85" s="74">
        <f t="shared" si="57"/>
        <v>-823.95501722131849</v>
      </c>
      <c r="P85" s="74">
        <f t="shared" si="57"/>
        <v>-844.55305369916641</v>
      </c>
      <c r="Q85" s="74">
        <f t="shared" si="57"/>
        <v>-861.7845254429576</v>
      </c>
    </row>
    <row r="86" spans="2:17">
      <c r="B86" s="66" t="s">
        <v>198</v>
      </c>
      <c r="C86" s="71">
        <f t="shared" ref="C86:H86" si="58">SUM(C81:C85)</f>
        <v>9283.2400000000016</v>
      </c>
      <c r="D86" s="71">
        <f t="shared" si="58"/>
        <v>9068.51</v>
      </c>
      <c r="E86" s="71">
        <f t="shared" si="58"/>
        <v>10897.539999999997</v>
      </c>
      <c r="F86" s="71">
        <f t="shared" si="58"/>
        <v>10673.430000000004</v>
      </c>
      <c r="G86" s="71">
        <f t="shared" si="58"/>
        <v>15315.859999999991</v>
      </c>
      <c r="H86" s="71">
        <f t="shared" si="58"/>
        <v>14537.132490403019</v>
      </c>
      <c r="I86" s="71">
        <f t="shared" ref="I86:Q86" si="59">SUM(I81:I85)</f>
        <v>16503.457102933342</v>
      </c>
      <c r="J86" s="71">
        <f t="shared" si="59"/>
        <v>18201.058284328483</v>
      </c>
      <c r="K86" s="71">
        <f t="shared" si="59"/>
        <v>19932.651472526395</v>
      </c>
      <c r="L86" s="71">
        <f t="shared" si="59"/>
        <v>21603.397037618921</v>
      </c>
      <c r="M86" s="71">
        <f t="shared" si="59"/>
        <v>23363.406569009909</v>
      </c>
      <c r="N86" s="71">
        <f t="shared" si="59"/>
        <v>25012.913024694797</v>
      </c>
      <c r="O86" s="71">
        <f t="shared" si="59"/>
        <v>26576.935370400723</v>
      </c>
      <c r="P86" s="71">
        <f t="shared" si="59"/>
        <v>28154.465210146453</v>
      </c>
      <c r="Q86" s="71">
        <f t="shared" si="59"/>
        <v>29754.760998691425</v>
      </c>
    </row>
    <row r="87" spans="2:17">
      <c r="C87" s="74"/>
      <c r="D87" s="74"/>
      <c r="E87" s="74"/>
      <c r="F87" s="74"/>
      <c r="G87" s="74"/>
    </row>
    <row r="88" spans="2:17">
      <c r="B88" s="64" t="s">
        <v>199</v>
      </c>
      <c r="C88" s="74"/>
      <c r="D88" s="74"/>
      <c r="E88" s="74"/>
      <c r="F88" s="74"/>
      <c r="G88" s="74"/>
    </row>
    <row r="89" spans="2:17">
      <c r="B89" s="60" t="s">
        <v>230</v>
      </c>
      <c r="C89" s="70">
        <f>'Data Sheet'!C140</f>
        <v>-5613.41</v>
      </c>
      <c r="D89" s="70">
        <f>'Data Sheet'!D140</f>
        <v>-6200.11</v>
      </c>
      <c r="E89" s="70">
        <f>'Data Sheet'!E140</f>
        <v>-9005.59</v>
      </c>
      <c r="F89" s="70">
        <f>'Data Sheet'!F140</f>
        <v>-9129.33</v>
      </c>
      <c r="G89" s="70">
        <f>'Data Sheet'!G140</f>
        <v>-9677.77</v>
      </c>
      <c r="H89" s="74">
        <f>-H118</f>
        <v>-9938.3998674341128</v>
      </c>
      <c r="I89" s="74">
        <f t="shared" ref="I89:Q89" si="60">-I118</f>
        <v>-10431.569483913552</v>
      </c>
      <c r="J89" s="74">
        <f t="shared" si="60"/>
        <v>-8871.6632020976867</v>
      </c>
      <c r="K89" s="74">
        <f t="shared" si="60"/>
        <v>-9315.8189593252937</v>
      </c>
      <c r="L89" s="74">
        <f t="shared" si="60"/>
        <v>-9290.2034985898081</v>
      </c>
      <c r="M89" s="74">
        <f t="shared" si="60"/>
        <v>-9753.9875893967401</v>
      </c>
      <c r="N89" s="74">
        <f t="shared" si="60"/>
        <v>-9676.6981298294941</v>
      </c>
      <c r="O89" s="74">
        <f t="shared" si="60"/>
        <v>-10111.796821574746</v>
      </c>
      <c r="P89" s="74">
        <f t="shared" si="60"/>
        <v>-10010.285702202209</v>
      </c>
      <c r="Q89" s="74">
        <f t="shared" si="60"/>
        <v>-10451.408876404857</v>
      </c>
    </row>
    <row r="90" spans="2:17">
      <c r="B90" s="72" t="s">
        <v>200</v>
      </c>
      <c r="C90" s="70">
        <f>'Data Sheet'!C141</f>
        <v>73.44</v>
      </c>
      <c r="D90" s="70">
        <f>'Data Sheet'!D141</f>
        <v>94.53</v>
      </c>
      <c r="E90" s="70">
        <f>'Data Sheet'!E141</f>
        <v>121.54</v>
      </c>
      <c r="F90" s="70">
        <f>'Data Sheet'!F141</f>
        <v>178.7</v>
      </c>
      <c r="G90" s="70">
        <f>'Data Sheet'!G141</f>
        <v>167.16</v>
      </c>
      <c r="H90" s="74">
        <v>0</v>
      </c>
      <c r="I90" s="74">
        <v>0</v>
      </c>
      <c r="J90" s="74">
        <v>0</v>
      </c>
      <c r="K90" s="74">
        <v>0</v>
      </c>
      <c r="L90" s="74">
        <v>0</v>
      </c>
      <c r="M90" s="74">
        <v>0</v>
      </c>
      <c r="N90" s="74">
        <v>0</v>
      </c>
      <c r="O90" s="74">
        <v>0</v>
      </c>
      <c r="P90" s="74">
        <v>0</v>
      </c>
      <c r="Q90" s="74">
        <v>0</v>
      </c>
    </row>
    <row r="91" spans="2:17">
      <c r="B91" s="60" t="s">
        <v>201</v>
      </c>
      <c r="C91" s="70">
        <f>SUM('Data Sheet'!C142:C151)</f>
        <v>7622.6100000000006</v>
      </c>
      <c r="D91" s="70">
        <f>SUM('Data Sheet'!D142:D151)</f>
        <v>-1364.2300000000007</v>
      </c>
      <c r="E91" s="70">
        <f>SUM('Data Sheet'!E142:E151)</f>
        <v>-65.469999999999615</v>
      </c>
      <c r="F91" s="70">
        <f>SUM('Data Sheet'!F142:F151)</f>
        <v>-7896.6699999999964</v>
      </c>
      <c r="G91" s="70">
        <f>SUM('Data Sheet'!G142:G151)</f>
        <v>-176.80000000000052</v>
      </c>
      <c r="H91" s="74">
        <f>G54-H54</f>
        <v>0</v>
      </c>
      <c r="I91" s="74">
        <f t="shared" ref="I91:Q91" si="61">H54-I54</f>
        <v>0</v>
      </c>
      <c r="J91" s="74">
        <f t="shared" si="61"/>
        <v>0</v>
      </c>
      <c r="K91" s="74">
        <f t="shared" si="61"/>
        <v>0</v>
      </c>
      <c r="L91" s="74">
        <f t="shared" si="61"/>
        <v>0</v>
      </c>
      <c r="M91" s="74">
        <f t="shared" si="61"/>
        <v>0</v>
      </c>
      <c r="N91" s="74">
        <f t="shared" si="61"/>
        <v>0</v>
      </c>
      <c r="O91" s="74">
        <f t="shared" si="61"/>
        <v>0</v>
      </c>
      <c r="P91" s="74">
        <f t="shared" si="61"/>
        <v>0</v>
      </c>
      <c r="Q91" s="74">
        <f t="shared" si="61"/>
        <v>0</v>
      </c>
    </row>
    <row r="92" spans="2:17" s="60" customFormat="1">
      <c r="B92" s="60" t="s">
        <v>125</v>
      </c>
      <c r="C92" s="70">
        <f>'Data Sheet'!C152</f>
        <v>0</v>
      </c>
      <c r="D92" s="70">
        <f>'Data Sheet'!D152</f>
        <v>0</v>
      </c>
      <c r="E92" s="70">
        <f>'Data Sheet'!E152</f>
        <v>0.16</v>
      </c>
      <c r="F92" s="70">
        <f>'Data Sheet'!F152</f>
        <v>0.81</v>
      </c>
      <c r="G92" s="70">
        <f>'Data Sheet'!G152</f>
        <v>0</v>
      </c>
      <c r="H92" s="74">
        <v>0</v>
      </c>
      <c r="I92" s="74">
        <v>0</v>
      </c>
      <c r="J92" s="74">
        <v>0</v>
      </c>
      <c r="K92" s="74">
        <v>0</v>
      </c>
      <c r="L92" s="74">
        <v>0</v>
      </c>
      <c r="M92" s="74">
        <v>0</v>
      </c>
      <c r="N92" s="74">
        <v>0</v>
      </c>
      <c r="O92" s="74">
        <v>0</v>
      </c>
      <c r="P92" s="74">
        <v>0</v>
      </c>
      <c r="Q92" s="74">
        <v>0</v>
      </c>
    </row>
    <row r="93" spans="2:17">
      <c r="B93" s="60" t="s">
        <v>126</v>
      </c>
      <c r="C93" s="70">
        <f>'Data Sheet'!C153</f>
        <v>174.37</v>
      </c>
      <c r="D93" s="70">
        <f>'Data Sheet'!D153</f>
        <v>282.74</v>
      </c>
      <c r="E93" s="70">
        <f>'Data Sheet'!E153</f>
        <v>161.24</v>
      </c>
      <c r="F93" s="70">
        <f>'Data Sheet'!F153</f>
        <v>342.03</v>
      </c>
      <c r="G93" s="70">
        <f>'Data Sheet'!G153</f>
        <v>207.33</v>
      </c>
      <c r="H93" s="74">
        <f>H16</f>
        <v>463.32671907682339</v>
      </c>
      <c r="I93" s="74">
        <f t="shared" ref="I93:Q93" si="62">I16</f>
        <v>523.84067687471963</v>
      </c>
      <c r="J93" s="74">
        <f t="shared" si="62"/>
        <v>585.35331984176867</v>
      </c>
      <c r="K93" s="74">
        <f t="shared" si="62"/>
        <v>645.46183383563698</v>
      </c>
      <c r="L93" s="74">
        <f t="shared" si="62"/>
        <v>708.23663340038775</v>
      </c>
      <c r="M93" s="74">
        <f t="shared" si="62"/>
        <v>773.72206392394662</v>
      </c>
      <c r="N93" s="74">
        <f t="shared" si="62"/>
        <v>831.93608555010076</v>
      </c>
      <c r="O93" s="74">
        <f t="shared" si="62"/>
        <v>891.50450139630505</v>
      </c>
      <c r="P93" s="74">
        <f t="shared" si="62"/>
        <v>952.41291957969929</v>
      </c>
      <c r="Q93" s="74">
        <f t="shared" si="62"/>
        <v>1014.6435678621558</v>
      </c>
    </row>
    <row r="94" spans="2:17">
      <c r="B94" s="66" t="s">
        <v>199</v>
      </c>
      <c r="C94" s="71">
        <f t="shared" ref="C94:H94" si="63">SUM(C89:C93)</f>
        <v>2257.0100000000002</v>
      </c>
      <c r="D94" s="71">
        <f t="shared" si="63"/>
        <v>-7187.0700000000006</v>
      </c>
      <c r="E94" s="71">
        <f t="shared" si="63"/>
        <v>-8788.119999999999</v>
      </c>
      <c r="F94" s="71">
        <f t="shared" si="63"/>
        <v>-16504.459999999995</v>
      </c>
      <c r="G94" s="71">
        <f t="shared" si="63"/>
        <v>-9480.0800000000017</v>
      </c>
      <c r="H94" s="71">
        <f t="shared" si="63"/>
        <v>-9475.073148357289</v>
      </c>
      <c r="I94" s="71">
        <f t="shared" ref="I94:Q94" si="64">SUM(I89:I93)</f>
        <v>-9907.7288070388331</v>
      </c>
      <c r="J94" s="71">
        <f t="shared" si="64"/>
        <v>-8286.3098822559186</v>
      </c>
      <c r="K94" s="71">
        <f t="shared" si="64"/>
        <v>-8670.357125489656</v>
      </c>
      <c r="L94" s="71">
        <f t="shared" si="64"/>
        <v>-8581.9668651894208</v>
      </c>
      <c r="M94" s="71">
        <f t="shared" si="64"/>
        <v>-8980.2655254727943</v>
      </c>
      <c r="N94" s="71">
        <f t="shared" si="64"/>
        <v>-8844.7620442793941</v>
      </c>
      <c r="O94" s="71">
        <f t="shared" si="64"/>
        <v>-9220.2923201784415</v>
      </c>
      <c r="P94" s="71">
        <f t="shared" si="64"/>
        <v>-9057.8727826225095</v>
      </c>
      <c r="Q94" s="71">
        <f t="shared" si="64"/>
        <v>-9436.765308542701</v>
      </c>
    </row>
    <row r="95" spans="2:17">
      <c r="C95" s="74"/>
      <c r="D95" s="74"/>
      <c r="E95" s="74"/>
      <c r="F95" s="74"/>
      <c r="G95" s="74"/>
    </row>
    <row r="96" spans="2:17">
      <c r="B96" s="64" t="s">
        <v>202</v>
      </c>
      <c r="C96" s="74"/>
      <c r="D96" s="74"/>
      <c r="E96" s="74"/>
      <c r="F96" s="74"/>
      <c r="G96" s="74"/>
    </row>
    <row r="97" spans="1:17">
      <c r="B97" s="60" t="s">
        <v>203</v>
      </c>
      <c r="C97" s="70">
        <f>SUM('Data Sheet'!C159:C162)</f>
        <v>-10328.59</v>
      </c>
      <c r="D97" s="70">
        <f>SUM('Data Sheet'!D159:D162)</f>
        <v>326.95999999999992</v>
      </c>
      <c r="E97" s="70">
        <f>SUM('Data Sheet'!E159:E162)</f>
        <v>167.91999999999996</v>
      </c>
      <c r="F97" s="70">
        <f>SUM('Data Sheet'!F159:F162)</f>
        <v>8694.16</v>
      </c>
      <c r="G97" s="70">
        <f>SUM('Data Sheet'!G159:G162)</f>
        <v>-1682.4199999999998</v>
      </c>
      <c r="H97" s="74">
        <f>H125</f>
        <v>0</v>
      </c>
      <c r="I97" s="74">
        <f t="shared" ref="I97:Q97" si="65">I125</f>
        <v>-1000</v>
      </c>
      <c r="J97" s="74">
        <f t="shared" si="65"/>
        <v>-2500</v>
      </c>
      <c r="K97" s="74">
        <f t="shared" si="65"/>
        <v>-2500</v>
      </c>
      <c r="L97" s="74">
        <f t="shared" si="65"/>
        <v>-2500</v>
      </c>
      <c r="M97" s="74">
        <f t="shared" si="65"/>
        <v>-2500</v>
      </c>
      <c r="N97" s="74">
        <f t="shared" si="65"/>
        <v>-2000</v>
      </c>
      <c r="O97" s="74">
        <f t="shared" si="65"/>
        <v>-2000</v>
      </c>
      <c r="P97" s="74">
        <f t="shared" si="65"/>
        <v>-1500</v>
      </c>
      <c r="Q97" s="74">
        <f t="shared" si="65"/>
        <v>-1500</v>
      </c>
    </row>
    <row r="98" spans="1:17">
      <c r="B98" t="s">
        <v>207</v>
      </c>
      <c r="C98" s="70">
        <f>SUM('Data Sheet'!C156:C158)</f>
        <v>-78.16</v>
      </c>
      <c r="D98" s="70">
        <f>SUM('Data Sheet'!D156:D158)</f>
        <v>-101.75</v>
      </c>
      <c r="E98" s="70">
        <f>SUM('Data Sheet'!E156:E158)</f>
        <v>-82.46</v>
      </c>
      <c r="F98" s="70">
        <f>SUM('Data Sheet'!F156:F158)</f>
        <v>-66.98</v>
      </c>
      <c r="G98" s="70">
        <f>SUM('Data Sheet'!G156:G158)</f>
        <v>-69.34</v>
      </c>
      <c r="H98" s="74">
        <v>0</v>
      </c>
      <c r="I98" s="74">
        <v>0</v>
      </c>
      <c r="J98" s="74">
        <v>0</v>
      </c>
      <c r="K98" s="74">
        <v>0</v>
      </c>
      <c r="L98" s="74">
        <v>0</v>
      </c>
      <c r="M98" s="74">
        <v>0</v>
      </c>
      <c r="N98" s="74">
        <v>0</v>
      </c>
      <c r="O98" s="74">
        <v>0</v>
      </c>
      <c r="P98" s="74">
        <v>0</v>
      </c>
      <c r="Q98" s="74">
        <v>0</v>
      </c>
    </row>
    <row r="99" spans="1:17">
      <c r="B99" s="60" t="s">
        <v>138</v>
      </c>
      <c r="C99" s="70">
        <f>'Data Sheet'!C165</f>
        <v>-1065</v>
      </c>
      <c r="D99" s="70">
        <f>'Data Sheet'!D165</f>
        <v>-1091.27</v>
      </c>
      <c r="E99" s="70">
        <f>'Data Sheet'!E165</f>
        <v>-1094.43</v>
      </c>
      <c r="F99" s="70">
        <f>'Data Sheet'!F165</f>
        <v>-2011.65</v>
      </c>
      <c r="G99" s="70">
        <f>'Data Sheet'!G165</f>
        <v>-2273.36</v>
      </c>
      <c r="H99" s="74">
        <f>-H22*H35</f>
        <v>-2529.978678700576</v>
      </c>
      <c r="I99" s="74">
        <f t="shared" ref="I99:Q99" si="66">-I22*I35</f>
        <v>-2967.81340658924</v>
      </c>
      <c r="J99" s="74">
        <f t="shared" si="66"/>
        <v>-3422.4827209411292</v>
      </c>
      <c r="K99" s="74">
        <f t="shared" si="66"/>
        <v>-3905.6607635621567</v>
      </c>
      <c r="L99" s="74">
        <f t="shared" si="66"/>
        <v>-4402.5058421754102</v>
      </c>
      <c r="M99" s="74">
        <f t="shared" si="66"/>
        <v>-4918.512489443413</v>
      </c>
      <c r="N99" s="74">
        <f t="shared" si="66"/>
        <v>-5364.6378794779848</v>
      </c>
      <c r="O99" s="74">
        <f t="shared" si="66"/>
        <v>-5811.0754599131433</v>
      </c>
      <c r="P99" s="74">
        <f t="shared" si="66"/>
        <v>-6259.3441301466028</v>
      </c>
      <c r="Q99" s="74">
        <f t="shared" si="66"/>
        <v>-6707.2029833756333</v>
      </c>
    </row>
    <row r="100" spans="1:17">
      <c r="B100" s="60" t="s">
        <v>137</v>
      </c>
      <c r="C100" s="70">
        <f>SUM('Data Sheet'!C163:C164)</f>
        <v>-1026.18</v>
      </c>
      <c r="D100" s="70">
        <f>SUM('Data Sheet'!D163:D164)</f>
        <v>-764.93999999999994</v>
      </c>
      <c r="E100" s="70">
        <f>SUM('Data Sheet'!E163:E164)</f>
        <v>-916.68000000000006</v>
      </c>
      <c r="F100" s="70">
        <f>SUM('Data Sheet'!F163:F164)</f>
        <v>-1539.77</v>
      </c>
      <c r="G100" s="70">
        <f>SUM('Data Sheet'!G163:G164)</f>
        <v>-1928.45</v>
      </c>
      <c r="H100" s="74">
        <f>H127</f>
        <v>-1858.1352218335894</v>
      </c>
      <c r="I100" s="74">
        <f t="shared" ref="I100:Q100" si="67">I127</f>
        <v>-1858.1352218335894</v>
      </c>
      <c r="J100" s="74">
        <f t="shared" si="67"/>
        <v>-1779.9147132253884</v>
      </c>
      <c r="K100" s="74">
        <f t="shared" si="67"/>
        <v>-1584.3634417048859</v>
      </c>
      <c r="L100" s="74">
        <f t="shared" si="67"/>
        <v>-1388.8121701843834</v>
      </c>
      <c r="M100" s="74">
        <f t="shared" si="67"/>
        <v>-1193.2608986638809</v>
      </c>
      <c r="N100" s="74">
        <f t="shared" si="67"/>
        <v>-997.70962714337838</v>
      </c>
      <c r="O100" s="74">
        <f t="shared" si="67"/>
        <v>-841.2686099269763</v>
      </c>
      <c r="P100" s="74">
        <f t="shared" si="67"/>
        <v>-684.82759271057432</v>
      </c>
      <c r="Q100" s="74">
        <f t="shared" si="67"/>
        <v>-567.49682979827276</v>
      </c>
    </row>
    <row r="101" spans="1:17">
      <c r="B101" s="66" t="s">
        <v>202</v>
      </c>
      <c r="C101" s="71">
        <f>SUM(C97:C100)</f>
        <v>-12497.93</v>
      </c>
      <c r="D101" s="71">
        <f>SUM(D97:D100)</f>
        <v>-1631</v>
      </c>
      <c r="E101" s="71">
        <f>SUM(E97:E100)</f>
        <v>-1925.65</v>
      </c>
      <c r="F101" s="71">
        <f>SUM(F97:F100)</f>
        <v>5075.76</v>
      </c>
      <c r="G101" s="71">
        <f>SUM(G97:G100)</f>
        <v>-5953.57</v>
      </c>
      <c r="H101" s="71">
        <f t="shared" ref="H101:Q101" si="68">SUM(H97:H100)</f>
        <v>-4388.1139005341656</v>
      </c>
      <c r="I101" s="71">
        <f t="shared" si="68"/>
        <v>-5825.9486284228296</v>
      </c>
      <c r="J101" s="71">
        <f t="shared" si="68"/>
        <v>-7702.3974341665171</v>
      </c>
      <c r="K101" s="71">
        <f t="shared" si="68"/>
        <v>-7990.0242052670428</v>
      </c>
      <c r="L101" s="71">
        <f t="shared" si="68"/>
        <v>-8291.318012359794</v>
      </c>
      <c r="M101" s="71">
        <f t="shared" si="68"/>
        <v>-8611.7733881072945</v>
      </c>
      <c r="N101" s="71">
        <f t="shared" si="68"/>
        <v>-8362.3475066213632</v>
      </c>
      <c r="O101" s="71">
        <f t="shared" si="68"/>
        <v>-8652.3440698401191</v>
      </c>
      <c r="P101" s="71">
        <f t="shared" si="68"/>
        <v>-8444.1717228571779</v>
      </c>
      <c r="Q101" s="71">
        <f t="shared" si="68"/>
        <v>-8774.6998131739056</v>
      </c>
    </row>
    <row r="102" spans="1:17">
      <c r="C102" s="74"/>
      <c r="D102" s="74"/>
      <c r="E102" s="74"/>
      <c r="F102" s="74"/>
      <c r="G102" s="74"/>
    </row>
    <row r="103" spans="1:17">
      <c r="B103" s="64" t="s">
        <v>204</v>
      </c>
      <c r="C103" s="70">
        <f t="shared" ref="C103:H103" si="69">C86+C94+C101</f>
        <v>-957.67999999999847</v>
      </c>
      <c r="D103" s="70">
        <f t="shared" si="69"/>
        <v>250.4399999999996</v>
      </c>
      <c r="E103" s="70">
        <f t="shared" si="69"/>
        <v>183.76999999999816</v>
      </c>
      <c r="F103" s="70">
        <f t="shared" si="69"/>
        <v>-755.26999999999134</v>
      </c>
      <c r="G103" s="70">
        <f t="shared" si="69"/>
        <v>-117.79000000000997</v>
      </c>
      <c r="H103" s="74">
        <f t="shared" si="69"/>
        <v>673.94544151156424</v>
      </c>
      <c r="I103" s="74">
        <f t="shared" ref="I103:Q103" si="70">I86+I94+I101</f>
        <v>769.7796674716792</v>
      </c>
      <c r="J103" s="74">
        <f t="shared" si="70"/>
        <v>2212.3509679060471</v>
      </c>
      <c r="K103" s="74">
        <f t="shared" si="70"/>
        <v>3272.2701417696962</v>
      </c>
      <c r="L103" s="74">
        <f t="shared" si="70"/>
        <v>4730.1121600697061</v>
      </c>
      <c r="M103" s="74">
        <f t="shared" si="70"/>
        <v>5771.3676554298199</v>
      </c>
      <c r="N103" s="74">
        <f t="shared" si="70"/>
        <v>7805.8034737940397</v>
      </c>
      <c r="O103" s="74">
        <f t="shared" si="70"/>
        <v>8704.2989803821602</v>
      </c>
      <c r="P103" s="74">
        <f t="shared" si="70"/>
        <v>10652.420704666767</v>
      </c>
      <c r="Q103" s="74">
        <f t="shared" si="70"/>
        <v>11543.295876974818</v>
      </c>
    </row>
    <row r="104" spans="1:17">
      <c r="B104" s="60" t="s">
        <v>205</v>
      </c>
      <c r="C104" s="70">
        <f>SUM('Data Sheet'!C168:C169)</f>
        <v>1078.22</v>
      </c>
      <c r="D104" s="70">
        <f>SUM('Data Sheet'!D168:D169)</f>
        <v>119.93</v>
      </c>
      <c r="E104" s="70">
        <f>SUM('Data Sheet'!E168:E169)</f>
        <v>369.81</v>
      </c>
      <c r="F104" s="70">
        <f>SUM('Data Sheet'!F168:F169)</f>
        <v>1222.47</v>
      </c>
      <c r="G104" s="70">
        <f>SUM('Data Sheet'!G168:G169)</f>
        <v>472.27</v>
      </c>
      <c r="H104" s="74">
        <f>G45</f>
        <v>354.48</v>
      </c>
      <c r="I104" s="74">
        <f t="shared" ref="I104:Q104" si="71">H45</f>
        <v>1028.4254415115643</v>
      </c>
      <c r="J104" s="74">
        <f t="shared" si="71"/>
        <v>1798.2051089832435</v>
      </c>
      <c r="K104" s="74">
        <f t="shared" si="71"/>
        <v>4010.5560768892906</v>
      </c>
      <c r="L104" s="74">
        <f t="shared" si="71"/>
        <v>7282.8262186589873</v>
      </c>
      <c r="M104" s="74">
        <f t="shared" si="71"/>
        <v>12012.938378728693</v>
      </c>
      <c r="N104" s="74">
        <f t="shared" si="71"/>
        <v>17784.306034158515</v>
      </c>
      <c r="O104" s="74">
        <f t="shared" si="71"/>
        <v>25590.109507952555</v>
      </c>
      <c r="P104" s="74">
        <f t="shared" si="71"/>
        <v>34294.408488334717</v>
      </c>
      <c r="Q104" s="74">
        <f t="shared" si="71"/>
        <v>44946.829193001482</v>
      </c>
    </row>
    <row r="105" spans="1:17" ht="15" thickBot="1">
      <c r="B105" s="67" t="s">
        <v>206</v>
      </c>
      <c r="C105" s="75">
        <f t="shared" ref="C105:H105" si="72">SUM(C103:C104)</f>
        <v>120.54000000000156</v>
      </c>
      <c r="D105" s="75">
        <f t="shared" si="72"/>
        <v>370.36999999999961</v>
      </c>
      <c r="E105" s="75">
        <f t="shared" si="72"/>
        <v>553.57999999999811</v>
      </c>
      <c r="F105" s="75">
        <f t="shared" si="72"/>
        <v>467.20000000000869</v>
      </c>
      <c r="G105" s="75">
        <f t="shared" si="72"/>
        <v>354.47999999999001</v>
      </c>
      <c r="H105" s="75">
        <f t="shared" si="72"/>
        <v>1028.4254415115643</v>
      </c>
      <c r="I105" s="75">
        <f t="shared" ref="I105:Q105" si="73">SUM(I103:I104)</f>
        <v>1798.2051089832435</v>
      </c>
      <c r="J105" s="75">
        <f t="shared" si="73"/>
        <v>4010.5560768892906</v>
      </c>
      <c r="K105" s="75">
        <f t="shared" si="73"/>
        <v>7282.8262186589873</v>
      </c>
      <c r="L105" s="75">
        <f t="shared" si="73"/>
        <v>12012.938378728693</v>
      </c>
      <c r="M105" s="75">
        <f t="shared" si="73"/>
        <v>17784.306034158515</v>
      </c>
      <c r="N105" s="75">
        <f t="shared" si="73"/>
        <v>25590.109507952555</v>
      </c>
      <c r="O105" s="75">
        <f t="shared" si="73"/>
        <v>34294.408488334717</v>
      </c>
      <c r="P105" s="75">
        <f t="shared" si="73"/>
        <v>44946.829193001482</v>
      </c>
      <c r="Q105" s="75">
        <f t="shared" si="73"/>
        <v>56490.125069976304</v>
      </c>
    </row>
    <row r="107" spans="1:17" ht="18.5">
      <c r="A107" s="60" t="s">
        <v>2</v>
      </c>
      <c r="B107" s="61" t="s">
        <v>208</v>
      </c>
      <c r="C107" s="73"/>
      <c r="D107" s="73"/>
      <c r="E107" s="73"/>
      <c r="F107" s="73"/>
      <c r="G107" s="73"/>
      <c r="H107" s="73"/>
      <c r="I107" s="73"/>
      <c r="J107" s="73"/>
      <c r="K107" s="73"/>
      <c r="L107" s="73"/>
      <c r="M107" s="73"/>
      <c r="N107" s="73"/>
      <c r="O107" s="40"/>
      <c r="P107" s="40"/>
      <c r="Q107" s="73"/>
    </row>
    <row r="109" spans="1:17">
      <c r="B109" s="64" t="s">
        <v>209</v>
      </c>
    </row>
    <row r="110" spans="1:17">
      <c r="B110" s="60" t="s">
        <v>210</v>
      </c>
      <c r="C110" s="74">
        <f>'Data Sheet'!C133</f>
        <v>-495.26</v>
      </c>
      <c r="D110" s="74">
        <f>'Data Sheet'!D133</f>
        <v>-752.33</v>
      </c>
      <c r="E110" s="74">
        <f>'Data Sheet'!E133</f>
        <v>-420.96</v>
      </c>
      <c r="F110" s="74">
        <f>'Data Sheet'!F133</f>
        <v>-607.54</v>
      </c>
      <c r="G110" s="74">
        <f>'Data Sheet'!G133</f>
        <v>-27.6</v>
      </c>
      <c r="H110" s="74">
        <f>G47-H47</f>
        <v>-477.83634858389905</v>
      </c>
      <c r="I110" s="74">
        <f t="shared" ref="I110:Q110" si="74">H47-I47</f>
        <v>-860.58230761094001</v>
      </c>
      <c r="J110" s="74">
        <f t="shared" si="74"/>
        <v>-859.0798449731974</v>
      </c>
      <c r="K110" s="74">
        <f t="shared" si="74"/>
        <v>-848.0521164819238</v>
      </c>
      <c r="L110" s="74">
        <f t="shared" si="74"/>
        <v>-880.70618366514282</v>
      </c>
      <c r="M110" s="74">
        <f t="shared" si="74"/>
        <v>-921.46074122505706</v>
      </c>
      <c r="N110" s="74">
        <f t="shared" si="74"/>
        <v>-817.79913322366519</v>
      </c>
      <c r="O110" s="74">
        <f t="shared" si="74"/>
        <v>-837.62116031982623</v>
      </c>
      <c r="P110" s="74">
        <f t="shared" si="74"/>
        <v>-856.03722974217271</v>
      </c>
      <c r="Q110" s="74">
        <f t="shared" si="74"/>
        <v>-874.84836786997221</v>
      </c>
    </row>
    <row r="111" spans="1:17">
      <c r="B111" s="60" t="s">
        <v>51</v>
      </c>
      <c r="C111" s="74">
        <f>'Data Sheet'!C134</f>
        <v>-1578.96</v>
      </c>
      <c r="D111" s="74">
        <f>'Data Sheet'!D134</f>
        <v>-991.91</v>
      </c>
      <c r="E111" s="74">
        <f>'Data Sheet'!E134</f>
        <v>-1711.53</v>
      </c>
      <c r="F111" s="74">
        <f>'Data Sheet'!F134</f>
        <v>-316.93</v>
      </c>
      <c r="G111" s="74">
        <f>'Data Sheet'!G134</f>
        <v>-67.92</v>
      </c>
      <c r="H111" s="74">
        <f>G48-H48</f>
        <v>-1186.4766877710026</v>
      </c>
      <c r="I111" s="74">
        <f t="shared" ref="I111:Q111" si="75">H48-I48</f>
        <v>-1230.3632706278295</v>
      </c>
      <c r="J111" s="74">
        <f t="shared" si="75"/>
        <v>-1528.7353212977232</v>
      </c>
      <c r="K111" s="74">
        <f t="shared" si="75"/>
        <v>-1341.8858776646612</v>
      </c>
      <c r="L111" s="74">
        <f t="shared" si="75"/>
        <v>-1489.2948960558879</v>
      </c>
      <c r="M111" s="74">
        <f t="shared" si="75"/>
        <v>-1505.3471105975404</v>
      </c>
      <c r="N111" s="74">
        <f t="shared" si="75"/>
        <v>-1361.990488749434</v>
      </c>
      <c r="O111" s="74">
        <f t="shared" si="75"/>
        <v>-1379.5969855672593</v>
      </c>
      <c r="P111" s="74">
        <f t="shared" si="75"/>
        <v>-1418.1804402456073</v>
      </c>
      <c r="Q111" s="74">
        <f t="shared" si="75"/>
        <v>-1444.9326285154893</v>
      </c>
    </row>
    <row r="112" spans="1:17">
      <c r="B112" s="60" t="s">
        <v>211</v>
      </c>
      <c r="C112" s="74">
        <f>'Data Sheet'!C131</f>
        <v>2076.9</v>
      </c>
      <c r="D112" s="74">
        <f>'Data Sheet'!D131</f>
        <v>1868.6</v>
      </c>
      <c r="E112" s="74">
        <f>'Data Sheet'!E131</f>
        <v>1959</v>
      </c>
      <c r="F112" s="74">
        <f>'Data Sheet'!F131</f>
        <v>-475.55</v>
      </c>
      <c r="G112" s="74">
        <f>'Data Sheet'!G131</f>
        <v>590.28</v>
      </c>
      <c r="H112" s="74">
        <f>H60-G60</f>
        <v>700.82372996308186</v>
      </c>
      <c r="I112" s="74">
        <f t="shared" ref="I112:Q112" si="76">I60-H60</f>
        <v>1300.6783794713683</v>
      </c>
      <c r="J112" s="74">
        <f t="shared" si="76"/>
        <v>1508.5164434993239</v>
      </c>
      <c r="K112" s="74">
        <f t="shared" si="76"/>
        <v>1372.2362170812012</v>
      </c>
      <c r="L112" s="74">
        <f t="shared" si="76"/>
        <v>1492.0105724831446</v>
      </c>
      <c r="M112" s="74">
        <f t="shared" si="76"/>
        <v>1524.0927567519866</v>
      </c>
      <c r="N112" s="74">
        <f t="shared" si="76"/>
        <v>1370.8080918729502</v>
      </c>
      <c r="O112" s="74">
        <f t="shared" si="76"/>
        <v>1393.263128665767</v>
      </c>
      <c r="P112" s="74">
        <f t="shared" si="76"/>
        <v>1429.6646162886136</v>
      </c>
      <c r="Q112" s="74">
        <f t="shared" si="76"/>
        <v>1457.9964709425039</v>
      </c>
    </row>
    <row r="113" spans="2:18">
      <c r="B113" s="60" t="s">
        <v>212</v>
      </c>
      <c r="C113" s="74">
        <f>SUM('Data Sheet'!C132,'Data Sheet'!C135)</f>
        <v>-475.7</v>
      </c>
      <c r="D113" s="74">
        <f>SUM('Data Sheet'!D132,'Data Sheet'!D135)</f>
        <v>-461.31</v>
      </c>
      <c r="E113" s="74">
        <f>SUM('Data Sheet'!E132,'Data Sheet'!E135)</f>
        <v>-307.56</v>
      </c>
      <c r="F113" s="74">
        <f>SUM('Data Sheet'!F132,'Data Sheet'!F135)</f>
        <v>728.95</v>
      </c>
      <c r="G113" s="74">
        <f>SUM('Data Sheet'!G132,'Data Sheet'!G135)</f>
        <v>-727.93</v>
      </c>
      <c r="H113" s="74">
        <f>G49-H49+H61-G61</f>
        <v>0</v>
      </c>
      <c r="I113" s="74">
        <f t="shared" ref="I113:Q113" si="77">H49-I49+I61-H61</f>
        <v>0</v>
      </c>
      <c r="J113" s="74">
        <f t="shared" si="77"/>
        <v>0</v>
      </c>
      <c r="K113" s="74">
        <f t="shared" si="77"/>
        <v>0</v>
      </c>
      <c r="L113" s="74">
        <f t="shared" si="77"/>
        <v>0</v>
      </c>
      <c r="M113" s="74">
        <f t="shared" si="77"/>
        <v>0</v>
      </c>
      <c r="N113" s="74">
        <f t="shared" si="77"/>
        <v>0</v>
      </c>
      <c r="O113" s="74">
        <f t="shared" si="77"/>
        <v>0</v>
      </c>
      <c r="P113" s="74">
        <f t="shared" si="77"/>
        <v>0</v>
      </c>
      <c r="Q113" s="74">
        <f t="shared" si="77"/>
        <v>0</v>
      </c>
    </row>
    <row r="114" spans="2:18">
      <c r="B114" s="66" t="s">
        <v>213</v>
      </c>
      <c r="C114" s="71">
        <f>SUM(C110:C113)</f>
        <v>-473.02000000000015</v>
      </c>
      <c r="D114" s="71">
        <f t="shared" ref="D114:Q114" si="78">SUM(D110:D113)</f>
        <v>-336.9500000000001</v>
      </c>
      <c r="E114" s="71">
        <f t="shared" si="78"/>
        <v>-481.04999999999978</v>
      </c>
      <c r="F114" s="71">
        <f t="shared" si="78"/>
        <v>-671.06999999999994</v>
      </c>
      <c r="G114" s="71">
        <f t="shared" si="78"/>
        <v>-233.16999999999996</v>
      </c>
      <c r="H114" s="71">
        <f t="shared" si="78"/>
        <v>-963.48930639181981</v>
      </c>
      <c r="I114" s="71">
        <f t="shared" si="78"/>
        <v>-790.26719876740117</v>
      </c>
      <c r="J114" s="71">
        <f t="shared" si="78"/>
        <v>-879.29872277159666</v>
      </c>
      <c r="K114" s="71">
        <f t="shared" si="78"/>
        <v>-817.70177706538379</v>
      </c>
      <c r="L114" s="71">
        <f t="shared" si="78"/>
        <v>-877.99050723788605</v>
      </c>
      <c r="M114" s="71">
        <f t="shared" si="78"/>
        <v>-902.71509507061091</v>
      </c>
      <c r="N114" s="71">
        <f t="shared" si="78"/>
        <v>-808.98153010014903</v>
      </c>
      <c r="O114" s="71">
        <f t="shared" si="78"/>
        <v>-823.95501722131849</v>
      </c>
      <c r="P114" s="71">
        <f t="shared" si="78"/>
        <v>-844.55305369916641</v>
      </c>
      <c r="Q114" s="71">
        <f t="shared" si="78"/>
        <v>-861.7845254429576</v>
      </c>
    </row>
    <row r="115" spans="2:18">
      <c r="B115" s="60"/>
    </row>
    <row r="116" spans="2:18">
      <c r="B116" s="64" t="s">
        <v>214</v>
      </c>
    </row>
    <row r="117" spans="2:18">
      <c r="B117" s="60" t="s">
        <v>215</v>
      </c>
      <c r="C117" s="74"/>
      <c r="D117" s="74">
        <f>C121</f>
        <v>48548.04</v>
      </c>
      <c r="E117" s="74">
        <f>D121</f>
        <v>51705.55</v>
      </c>
      <c r="F117" s="74">
        <f>E121</f>
        <v>57825.13</v>
      </c>
      <c r="G117" s="74">
        <f>F121</f>
        <v>83039.19</v>
      </c>
      <c r="H117" s="74">
        <f>G121</f>
        <v>89273.59</v>
      </c>
      <c r="I117" s="74">
        <f t="shared" ref="I117:Q117" si="79">H121</f>
        <v>94218.834011609884</v>
      </c>
      <c r="J117" s="74">
        <f t="shared" si="79"/>
        <v>99380.655490833582</v>
      </c>
      <c r="K117" s="74">
        <f t="shared" si="79"/>
        <v>102693.86515790813</v>
      </c>
      <c r="L117" s="74">
        <f t="shared" si="79"/>
        <v>106265.91964925996</v>
      </c>
      <c r="M117" s="74">
        <f t="shared" si="79"/>
        <v>109612.57031244515</v>
      </c>
      <c r="N117" s="74">
        <f t="shared" si="79"/>
        <v>113235.82374712122</v>
      </c>
      <c r="O117" s="74">
        <f t="shared" si="79"/>
        <v>116579.13574974313</v>
      </c>
      <c r="P117" s="74">
        <f t="shared" si="79"/>
        <v>120170.55185921975</v>
      </c>
      <c r="Q117" s="74">
        <f t="shared" si="79"/>
        <v>123459.58556838022</v>
      </c>
    </row>
    <row r="118" spans="2:18">
      <c r="B118" s="72" t="s">
        <v>216</v>
      </c>
      <c r="C118" s="74"/>
      <c r="D118" s="74">
        <f>-'Data Sheet'!D140</f>
        <v>6200.11</v>
      </c>
      <c r="E118" s="74">
        <f>-'Data Sheet'!E140</f>
        <v>9005.59</v>
      </c>
      <c r="F118" s="74">
        <f>-'Data Sheet'!F140</f>
        <v>9129.33</v>
      </c>
      <c r="G118" s="74">
        <f>-'Data Sheet'!G140</f>
        <v>9677.77</v>
      </c>
      <c r="H118" s="74">
        <f>(H149-H168)*H165+H7*H167</f>
        <v>9938.3998674341128</v>
      </c>
      <c r="I118" s="74">
        <f t="shared" ref="I118:Q118" si="80">(I149-I168)*I165+I7*I167</f>
        <v>10431.569483913552</v>
      </c>
      <c r="J118" s="74">
        <f t="shared" si="80"/>
        <v>8871.6632020976867</v>
      </c>
      <c r="K118" s="74">
        <f t="shared" si="80"/>
        <v>9315.8189593252937</v>
      </c>
      <c r="L118" s="74">
        <f t="shared" si="80"/>
        <v>9290.2034985898081</v>
      </c>
      <c r="M118" s="74">
        <f t="shared" si="80"/>
        <v>9753.9875893967401</v>
      </c>
      <c r="N118" s="74">
        <f t="shared" si="80"/>
        <v>9676.6981298294941</v>
      </c>
      <c r="O118" s="74">
        <f t="shared" si="80"/>
        <v>10111.796821574746</v>
      </c>
      <c r="P118" s="74">
        <f t="shared" si="80"/>
        <v>10010.285702202209</v>
      </c>
      <c r="Q118" s="74">
        <f t="shared" si="80"/>
        <v>10451.408876404857</v>
      </c>
    </row>
    <row r="119" spans="2:18" s="60" customFormat="1">
      <c r="B119" s="72" t="s">
        <v>222</v>
      </c>
      <c r="C119" s="74"/>
      <c r="D119" s="74">
        <f>D121-D117-D118-D120</f>
        <v>-154.60999999999785</v>
      </c>
      <c r="E119" s="74">
        <f>E121-E117-E118-E120</f>
        <v>259.28999999999451</v>
      </c>
      <c r="F119" s="74">
        <f>F121-F117-F118-F120</f>
        <v>20099.680000000004</v>
      </c>
      <c r="G119" s="74">
        <f>G121-G117-G118-G120</f>
        <v>1201.0899999999938</v>
      </c>
      <c r="H119" s="74">
        <v>0</v>
      </c>
      <c r="I119" s="74">
        <v>0</v>
      </c>
      <c r="J119" s="74">
        <v>0</v>
      </c>
      <c r="K119" s="74">
        <v>0</v>
      </c>
      <c r="L119" s="74">
        <v>0</v>
      </c>
      <c r="M119" s="74">
        <v>0</v>
      </c>
      <c r="N119" s="74">
        <v>0</v>
      </c>
      <c r="O119" s="74">
        <v>0</v>
      </c>
      <c r="P119" s="74">
        <v>0</v>
      </c>
      <c r="Q119" s="74">
        <v>0</v>
      </c>
    </row>
    <row r="120" spans="2:18">
      <c r="B120" s="60" t="s">
        <v>217</v>
      </c>
      <c r="C120" s="74"/>
      <c r="D120" s="74">
        <f>D13</f>
        <v>-2887.99</v>
      </c>
      <c r="E120" s="74">
        <f>E13</f>
        <v>-3145.3</v>
      </c>
      <c r="F120" s="74">
        <f>F13</f>
        <v>-4014.95</v>
      </c>
      <c r="G120" s="74">
        <f>G13</f>
        <v>-4644.46</v>
      </c>
      <c r="H120" s="74">
        <f>-H31*H117</f>
        <v>-4993.1558558242195</v>
      </c>
      <c r="I120" s="74">
        <f t="shared" ref="I120:Q120" si="81">-I31*I117</f>
        <v>-5269.7480046898536</v>
      </c>
      <c r="J120" s="74">
        <f t="shared" si="81"/>
        <v>-5558.4535350231254</v>
      </c>
      <c r="K120" s="74">
        <f t="shared" si="81"/>
        <v>-5743.7644679734713</v>
      </c>
      <c r="L120" s="74">
        <f t="shared" si="81"/>
        <v>-5943.5528354046073</v>
      </c>
      <c r="M120" s="74">
        <f t="shared" si="81"/>
        <v>-6130.7341547206688</v>
      </c>
      <c r="N120" s="74">
        <f t="shared" si="81"/>
        <v>-6333.3861272075828</v>
      </c>
      <c r="O120" s="74">
        <f t="shared" si="81"/>
        <v>-6520.380712098131</v>
      </c>
      <c r="P120" s="74">
        <f t="shared" si="81"/>
        <v>-6721.2519930417402</v>
      </c>
      <c r="Q120" s="74">
        <f t="shared" si="81"/>
        <v>-6905.2107419270251</v>
      </c>
    </row>
    <row r="121" spans="2:18">
      <c r="B121" s="66" t="s">
        <v>218</v>
      </c>
      <c r="C121" s="71">
        <f>C52</f>
        <v>48548.04</v>
      </c>
      <c r="D121" s="71">
        <f>D52</f>
        <v>51705.55</v>
      </c>
      <c r="E121" s="71">
        <f>E52</f>
        <v>57825.13</v>
      </c>
      <c r="F121" s="71">
        <f>F52</f>
        <v>83039.19</v>
      </c>
      <c r="G121" s="71">
        <f>G52</f>
        <v>89273.59</v>
      </c>
      <c r="H121" s="71">
        <f>SUM(H117:H120)</f>
        <v>94218.834011609884</v>
      </c>
      <c r="I121" s="71">
        <f t="shared" ref="I121:Q121" si="82">SUM(I117:I120)</f>
        <v>99380.655490833582</v>
      </c>
      <c r="J121" s="71">
        <f t="shared" si="82"/>
        <v>102693.86515790813</v>
      </c>
      <c r="K121" s="71">
        <f t="shared" si="82"/>
        <v>106265.91964925996</v>
      </c>
      <c r="L121" s="71">
        <f t="shared" si="82"/>
        <v>109612.57031244515</v>
      </c>
      <c r="M121" s="71">
        <f t="shared" si="82"/>
        <v>113235.82374712122</v>
      </c>
      <c r="N121" s="71">
        <f t="shared" si="82"/>
        <v>116579.13574974313</v>
      </c>
      <c r="O121" s="71">
        <f t="shared" si="82"/>
        <v>120170.55185921975</v>
      </c>
      <c r="P121" s="71">
        <f t="shared" si="82"/>
        <v>123459.58556838022</v>
      </c>
      <c r="Q121" s="71">
        <f t="shared" si="82"/>
        <v>127005.78370285805</v>
      </c>
    </row>
    <row r="122" spans="2:18">
      <c r="B122" s="60"/>
    </row>
    <row r="123" spans="2:18">
      <c r="B123" s="64" t="s">
        <v>219</v>
      </c>
    </row>
    <row r="124" spans="2:18">
      <c r="B124" s="60" t="s">
        <v>215</v>
      </c>
      <c r="D124" s="74">
        <f>C126</f>
        <v>11298.800000000001</v>
      </c>
      <c r="E124" s="74">
        <f>D126</f>
        <v>11057.74</v>
      </c>
      <c r="F124" s="74">
        <f>E126</f>
        <v>11402.95</v>
      </c>
      <c r="G124" s="74">
        <f>F126</f>
        <v>24102.18</v>
      </c>
      <c r="H124" s="74">
        <f>G126</f>
        <v>23755.089999999997</v>
      </c>
      <c r="I124" s="74">
        <f t="shared" ref="I124:Q124" si="83">H126</f>
        <v>23755.089999999997</v>
      </c>
      <c r="J124" s="74">
        <f t="shared" si="83"/>
        <v>22755.089999999997</v>
      </c>
      <c r="K124" s="74">
        <f t="shared" si="83"/>
        <v>20255.089999999997</v>
      </c>
      <c r="L124" s="74">
        <f t="shared" si="83"/>
        <v>17755.089999999997</v>
      </c>
      <c r="M124" s="74">
        <f t="shared" si="83"/>
        <v>15255.089999999997</v>
      </c>
      <c r="N124" s="74">
        <f t="shared" si="83"/>
        <v>12755.089999999997</v>
      </c>
      <c r="O124" s="74">
        <f t="shared" si="83"/>
        <v>10755.089999999997</v>
      </c>
      <c r="P124" s="74">
        <f t="shared" si="83"/>
        <v>8755.0899999999965</v>
      </c>
      <c r="Q124" s="74">
        <f t="shared" si="83"/>
        <v>7255.0899999999965</v>
      </c>
    </row>
    <row r="125" spans="2:18">
      <c r="B125" s="77" t="s">
        <v>220</v>
      </c>
      <c r="D125" s="74">
        <f>D126-D124</f>
        <v>-241.06000000000131</v>
      </c>
      <c r="E125" s="74">
        <f>E126-E124</f>
        <v>345.21000000000095</v>
      </c>
      <c r="F125" s="74">
        <f>F126-F124</f>
        <v>12699.23</v>
      </c>
      <c r="G125" s="74">
        <f>G126-G124</f>
        <v>-347.09000000000378</v>
      </c>
      <c r="H125" s="89">
        <v>0</v>
      </c>
      <c r="I125" s="89">
        <v>-1000</v>
      </c>
      <c r="J125" s="89">
        <v>-2500</v>
      </c>
      <c r="K125" s="89">
        <v>-2500</v>
      </c>
      <c r="L125" s="89">
        <v>-2500</v>
      </c>
      <c r="M125" s="89">
        <v>-2500</v>
      </c>
      <c r="N125" s="89">
        <v>-2000</v>
      </c>
      <c r="O125" s="89">
        <v>-2000</v>
      </c>
      <c r="P125" s="89">
        <v>-1500</v>
      </c>
      <c r="Q125" s="89">
        <v>-1500</v>
      </c>
      <c r="R125" s="96"/>
    </row>
    <row r="126" spans="2:18">
      <c r="B126" s="65" t="s">
        <v>218</v>
      </c>
      <c r="C126" s="71">
        <f>C64</f>
        <v>11298.800000000001</v>
      </c>
      <c r="D126" s="71">
        <f>D64</f>
        <v>11057.74</v>
      </c>
      <c r="E126" s="71">
        <f>E64</f>
        <v>11402.95</v>
      </c>
      <c r="F126" s="71">
        <f>F64</f>
        <v>24102.18</v>
      </c>
      <c r="G126" s="71">
        <f>G64</f>
        <v>23755.089999999997</v>
      </c>
      <c r="H126" s="71">
        <f>SUM(H124:H125)</f>
        <v>23755.089999999997</v>
      </c>
      <c r="I126" s="71">
        <f t="shared" ref="I126:Q126" si="84">SUM(I124:I125)</f>
        <v>22755.089999999997</v>
      </c>
      <c r="J126" s="71">
        <f t="shared" si="84"/>
        <v>20255.089999999997</v>
      </c>
      <c r="K126" s="71">
        <f t="shared" si="84"/>
        <v>17755.089999999997</v>
      </c>
      <c r="L126" s="71">
        <f t="shared" si="84"/>
        <v>15255.089999999997</v>
      </c>
      <c r="M126" s="71">
        <f t="shared" si="84"/>
        <v>12755.089999999997</v>
      </c>
      <c r="N126" s="71">
        <f t="shared" si="84"/>
        <v>10755.089999999997</v>
      </c>
      <c r="O126" s="71">
        <f t="shared" si="84"/>
        <v>8755.0899999999965</v>
      </c>
      <c r="P126" s="71">
        <f t="shared" si="84"/>
        <v>7255.0899999999965</v>
      </c>
      <c r="Q126" s="71">
        <f t="shared" si="84"/>
        <v>5755.0899999999965</v>
      </c>
    </row>
    <row r="127" spans="2:18">
      <c r="B127" s="60" t="s">
        <v>221</v>
      </c>
      <c r="C127" s="74">
        <f>C15</f>
        <v>-944.71</v>
      </c>
      <c r="D127" s="74">
        <f>D15</f>
        <v>-822.72</v>
      </c>
      <c r="E127" s="74">
        <f>E15</f>
        <v>-968</v>
      </c>
      <c r="F127" s="74">
        <f>F15</f>
        <v>-1650.54</v>
      </c>
      <c r="G127" s="74">
        <f>G15</f>
        <v>-1871.71</v>
      </c>
      <c r="H127" s="74">
        <f>-H124*H32</f>
        <v>-1858.1352218335894</v>
      </c>
      <c r="I127" s="74">
        <f t="shared" ref="I127:Q127" si="85">-I124*I32</f>
        <v>-1858.1352218335894</v>
      </c>
      <c r="J127" s="74">
        <f t="shared" si="85"/>
        <v>-1779.9147132253884</v>
      </c>
      <c r="K127" s="74">
        <f t="shared" si="85"/>
        <v>-1584.3634417048859</v>
      </c>
      <c r="L127" s="74">
        <f t="shared" si="85"/>
        <v>-1388.8121701843834</v>
      </c>
      <c r="M127" s="74">
        <f t="shared" si="85"/>
        <v>-1193.2608986638809</v>
      </c>
      <c r="N127" s="74">
        <f t="shared" si="85"/>
        <v>-997.70962714337838</v>
      </c>
      <c r="O127" s="74">
        <f t="shared" si="85"/>
        <v>-841.2686099269763</v>
      </c>
      <c r="P127" s="74">
        <f t="shared" si="85"/>
        <v>-684.82759271057432</v>
      </c>
      <c r="Q127" s="74">
        <f t="shared" si="85"/>
        <v>-567.49682979827276</v>
      </c>
    </row>
    <row r="129" spans="1:17">
      <c r="A129" t="s">
        <v>2</v>
      </c>
      <c r="B129" s="62" t="s">
        <v>236</v>
      </c>
      <c r="C129" s="62">
        <v>2022</v>
      </c>
      <c r="D129" s="62">
        <f t="shared" ref="D129:Q129" si="86">C129+1</f>
        <v>2023</v>
      </c>
      <c r="E129" s="62">
        <f t="shared" si="86"/>
        <v>2024</v>
      </c>
      <c r="F129" s="62">
        <f t="shared" si="86"/>
        <v>2025</v>
      </c>
      <c r="G129" s="62">
        <f t="shared" si="86"/>
        <v>2026</v>
      </c>
      <c r="H129" s="62">
        <f t="shared" si="86"/>
        <v>2027</v>
      </c>
      <c r="I129" s="62">
        <f t="shared" si="86"/>
        <v>2028</v>
      </c>
      <c r="J129" s="62">
        <f t="shared" si="86"/>
        <v>2029</v>
      </c>
      <c r="K129" s="62">
        <f t="shared" si="86"/>
        <v>2030</v>
      </c>
      <c r="L129" s="62">
        <f t="shared" si="86"/>
        <v>2031</v>
      </c>
      <c r="M129" s="62">
        <f t="shared" si="86"/>
        <v>2032</v>
      </c>
      <c r="N129" s="62">
        <f t="shared" si="86"/>
        <v>2033</v>
      </c>
      <c r="O129" s="62">
        <f t="shared" si="86"/>
        <v>2034</v>
      </c>
      <c r="P129" s="62">
        <f t="shared" si="86"/>
        <v>2035</v>
      </c>
      <c r="Q129" s="62">
        <f t="shared" si="86"/>
        <v>2036</v>
      </c>
    </row>
    <row r="131" spans="1:17">
      <c r="B131" t="s">
        <v>68</v>
      </c>
      <c r="C131" s="74">
        <f>'Data Sheet'!C85+'Data Sheet'!C95</f>
        <v>10202.84</v>
      </c>
      <c r="D131" s="74">
        <f>'Data Sheet'!D85+'Data Sheet'!D95</f>
        <v>9900.7799999999988</v>
      </c>
      <c r="E131" s="74">
        <f>'Data Sheet'!E85+'Data Sheet'!E95</f>
        <v>10298.39</v>
      </c>
      <c r="F131" s="74">
        <f>'Data Sheet'!F85+'Data Sheet'!F95</f>
        <v>23030.99</v>
      </c>
      <c r="G131" s="74">
        <f>'Data Sheet'!G85+'Data Sheet'!G95</f>
        <v>22780.66</v>
      </c>
      <c r="H131" s="63">
        <f>H126-H132</f>
        <v>22780.659999999996</v>
      </c>
      <c r="I131" s="63">
        <f t="shared" ref="I131:Q131" si="87">I126-I132</f>
        <v>21780.659999999996</v>
      </c>
      <c r="J131" s="63">
        <f t="shared" si="87"/>
        <v>19280.659999999996</v>
      </c>
      <c r="K131" s="63">
        <f t="shared" si="87"/>
        <v>16780.659999999996</v>
      </c>
      <c r="L131" s="63">
        <f t="shared" si="87"/>
        <v>14280.659999999996</v>
      </c>
      <c r="M131" s="63">
        <f t="shared" si="87"/>
        <v>11780.659999999996</v>
      </c>
      <c r="N131" s="63">
        <f t="shared" si="87"/>
        <v>9780.6599999999962</v>
      </c>
      <c r="O131" s="63">
        <f t="shared" si="87"/>
        <v>7780.6599999999962</v>
      </c>
      <c r="P131" s="63">
        <f t="shared" si="87"/>
        <v>6280.6599999999962</v>
      </c>
      <c r="Q131" s="63">
        <f t="shared" si="87"/>
        <v>4780.6599999999962</v>
      </c>
    </row>
    <row r="132" spans="1:17">
      <c r="B132" t="s">
        <v>69</v>
      </c>
      <c r="C132" s="74">
        <f>'Data Sheet'!C86+'Data Sheet'!C96</f>
        <v>1095.96</v>
      </c>
      <c r="D132" s="74">
        <f>'Data Sheet'!D86+'Data Sheet'!D96</f>
        <v>1156.96</v>
      </c>
      <c r="E132" s="74">
        <f>'Data Sheet'!E86+'Data Sheet'!E96</f>
        <v>1104.56</v>
      </c>
      <c r="F132" s="74">
        <f>'Data Sheet'!F86+'Data Sheet'!F96</f>
        <v>1071.19</v>
      </c>
      <c r="G132" s="74">
        <f>'Data Sheet'!G86+'Data Sheet'!G96</f>
        <v>974.43000000000006</v>
      </c>
      <c r="H132" s="74">
        <f>G132</f>
        <v>974.43000000000006</v>
      </c>
      <c r="I132" s="74">
        <f t="shared" ref="I132:Q132" si="88">H132</f>
        <v>974.43000000000006</v>
      </c>
      <c r="J132" s="74">
        <f t="shared" si="88"/>
        <v>974.43000000000006</v>
      </c>
      <c r="K132" s="74">
        <f t="shared" si="88"/>
        <v>974.43000000000006</v>
      </c>
      <c r="L132" s="74">
        <f t="shared" si="88"/>
        <v>974.43000000000006</v>
      </c>
      <c r="M132" s="74">
        <f t="shared" si="88"/>
        <v>974.43000000000006</v>
      </c>
      <c r="N132" s="74">
        <f t="shared" si="88"/>
        <v>974.43000000000006</v>
      </c>
      <c r="O132" s="74">
        <f t="shared" si="88"/>
        <v>974.43000000000006</v>
      </c>
      <c r="P132" s="74">
        <f t="shared" si="88"/>
        <v>974.43000000000006</v>
      </c>
      <c r="Q132" s="74">
        <f t="shared" si="88"/>
        <v>974.43000000000006</v>
      </c>
    </row>
    <row r="133" spans="1:17">
      <c r="B133" s="66" t="s">
        <v>231</v>
      </c>
      <c r="C133" s="71">
        <f>SUM(C131:C132)</f>
        <v>11298.8</v>
      </c>
      <c r="D133" s="71">
        <f>SUM(D131:D132)</f>
        <v>11057.739999999998</v>
      </c>
      <c r="E133" s="71">
        <f>SUM(E131:E132)</f>
        <v>11402.949999999999</v>
      </c>
      <c r="F133" s="71">
        <f>SUM(F131:F132)</f>
        <v>24102.18</v>
      </c>
      <c r="G133" s="71">
        <f>SUM(G131:G132)</f>
        <v>23755.09</v>
      </c>
      <c r="H133" s="71">
        <f t="shared" ref="H133:Q133" si="89">SUM(H131:H132)</f>
        <v>23755.089999999997</v>
      </c>
      <c r="I133" s="71">
        <f t="shared" si="89"/>
        <v>22755.089999999997</v>
      </c>
      <c r="J133" s="71">
        <f t="shared" si="89"/>
        <v>20255.089999999997</v>
      </c>
      <c r="K133" s="71">
        <f t="shared" si="89"/>
        <v>17755.089999999997</v>
      </c>
      <c r="L133" s="71">
        <f t="shared" si="89"/>
        <v>15255.089999999997</v>
      </c>
      <c r="M133" s="71">
        <f t="shared" si="89"/>
        <v>12755.089999999997</v>
      </c>
      <c r="N133" s="71">
        <f t="shared" si="89"/>
        <v>10755.089999999997</v>
      </c>
      <c r="O133" s="71">
        <f t="shared" si="89"/>
        <v>8755.0899999999965</v>
      </c>
      <c r="P133" s="71">
        <f t="shared" si="89"/>
        <v>7255.0899999999965</v>
      </c>
      <c r="Q133" s="71">
        <f t="shared" si="89"/>
        <v>5755.0899999999965</v>
      </c>
    </row>
    <row r="134" spans="1:17">
      <c r="C134" s="74"/>
      <c r="D134" s="74"/>
      <c r="E134" s="74"/>
      <c r="F134" s="74"/>
      <c r="G134" s="74"/>
    </row>
    <row r="135" spans="1:17">
      <c r="B135" t="s">
        <v>232</v>
      </c>
      <c r="C135" s="74">
        <f>'Data Sheet'!C65</f>
        <v>120.54</v>
      </c>
      <c r="D135" s="74">
        <f>'Data Sheet'!D65</f>
        <v>370.37</v>
      </c>
      <c r="E135" s="74">
        <f>'Data Sheet'!E65</f>
        <v>553.58000000000004</v>
      </c>
      <c r="F135" s="74">
        <f>'Data Sheet'!F65</f>
        <v>467.21</v>
      </c>
      <c r="G135" s="74">
        <f>'Data Sheet'!G65</f>
        <v>354.48</v>
      </c>
      <c r="H135" s="74">
        <f>H45</f>
        <v>1028.4254415115643</v>
      </c>
      <c r="I135" s="74">
        <f t="shared" ref="I135:Q135" si="90">I45</f>
        <v>1798.2051089832435</v>
      </c>
      <c r="J135" s="74">
        <f t="shared" si="90"/>
        <v>4010.5560768892906</v>
      </c>
      <c r="K135" s="74">
        <f t="shared" si="90"/>
        <v>7282.8262186589873</v>
      </c>
      <c r="L135" s="74">
        <f t="shared" si="90"/>
        <v>12012.938378728693</v>
      </c>
      <c r="M135" s="74">
        <f t="shared" si="90"/>
        <v>17784.306034158515</v>
      </c>
      <c r="N135" s="74">
        <f t="shared" si="90"/>
        <v>25590.109507952555</v>
      </c>
      <c r="O135" s="74">
        <f t="shared" si="90"/>
        <v>34294.408488334717</v>
      </c>
      <c r="P135" s="74">
        <f t="shared" si="90"/>
        <v>44946.829193001482</v>
      </c>
      <c r="Q135" s="74">
        <f t="shared" si="90"/>
        <v>56490.125069976304</v>
      </c>
    </row>
    <row r="136" spans="1:17">
      <c r="B136" t="s">
        <v>233</v>
      </c>
      <c r="C136" s="74">
        <f>'Data Sheet'!C66</f>
        <v>238.64</v>
      </c>
      <c r="D136" s="74">
        <f>'Data Sheet'!D66</f>
        <v>779.22</v>
      </c>
      <c r="E136" s="74">
        <f>'Data Sheet'!E66</f>
        <v>229.63</v>
      </c>
      <c r="F136" s="74">
        <f>'Data Sheet'!F66</f>
        <v>1206.1099999999999</v>
      </c>
      <c r="G136" s="74">
        <f>'Data Sheet'!G66</f>
        <v>1029.8699999999999</v>
      </c>
      <c r="H136" s="74">
        <f>H46</f>
        <v>1029.8699999999999</v>
      </c>
      <c r="I136" s="74">
        <f t="shared" ref="I136:Q136" si="91">I46</f>
        <v>1029.8699999999999</v>
      </c>
      <c r="J136" s="74">
        <f t="shared" si="91"/>
        <v>1029.8699999999999</v>
      </c>
      <c r="K136" s="74">
        <f t="shared" si="91"/>
        <v>1029.8699999999999</v>
      </c>
      <c r="L136" s="74">
        <f t="shared" si="91"/>
        <v>1029.8699999999999</v>
      </c>
      <c r="M136" s="74">
        <f t="shared" si="91"/>
        <v>1029.8699999999999</v>
      </c>
      <c r="N136" s="74">
        <f t="shared" si="91"/>
        <v>1029.8699999999999</v>
      </c>
      <c r="O136" s="74">
        <f t="shared" si="91"/>
        <v>1029.8699999999999</v>
      </c>
      <c r="P136" s="74">
        <f t="shared" si="91"/>
        <v>1029.8699999999999</v>
      </c>
      <c r="Q136" s="74">
        <f t="shared" si="91"/>
        <v>1029.8699999999999</v>
      </c>
    </row>
    <row r="137" spans="1:17">
      <c r="B137" t="s">
        <v>234</v>
      </c>
      <c r="C137" s="74">
        <f>'Data Sheet'!C63</f>
        <v>4963.34</v>
      </c>
      <c r="D137" s="74">
        <f>'Data Sheet'!D63</f>
        <v>5836.6</v>
      </c>
      <c r="E137" s="74">
        <f>'Data Sheet'!E63</f>
        <v>5484.8</v>
      </c>
      <c r="F137" s="74">
        <f>'Data Sheet'!F63</f>
        <v>2859.07</v>
      </c>
      <c r="G137" s="74">
        <f>'Data Sheet'!G63</f>
        <v>3735.62</v>
      </c>
      <c r="H137" s="74">
        <f>G137</f>
        <v>3735.62</v>
      </c>
      <c r="I137" s="74">
        <f t="shared" ref="I137:Q137" si="92">H137</f>
        <v>3735.62</v>
      </c>
      <c r="J137" s="74">
        <f t="shared" si="92"/>
        <v>3735.62</v>
      </c>
      <c r="K137" s="74">
        <f t="shared" si="92"/>
        <v>3735.62</v>
      </c>
      <c r="L137" s="74">
        <f t="shared" si="92"/>
        <v>3735.62</v>
      </c>
      <c r="M137" s="74">
        <f t="shared" si="92"/>
        <v>3735.62</v>
      </c>
      <c r="N137" s="74">
        <f t="shared" si="92"/>
        <v>3735.62</v>
      </c>
      <c r="O137" s="74">
        <f t="shared" si="92"/>
        <v>3735.62</v>
      </c>
      <c r="P137" s="74">
        <f t="shared" si="92"/>
        <v>3735.62</v>
      </c>
      <c r="Q137" s="74">
        <f t="shared" si="92"/>
        <v>3735.62</v>
      </c>
    </row>
    <row r="138" spans="1:17">
      <c r="B138" s="66" t="s">
        <v>235</v>
      </c>
      <c r="C138" s="71">
        <f>SUM(C135:C137)</f>
        <v>5322.52</v>
      </c>
      <c r="D138" s="71">
        <f t="shared" ref="D138:Q138" si="93">SUM(D135:D137)</f>
        <v>6986.1900000000005</v>
      </c>
      <c r="E138" s="71">
        <f t="shared" si="93"/>
        <v>6268.01</v>
      </c>
      <c r="F138" s="71">
        <f t="shared" si="93"/>
        <v>4532.3900000000003</v>
      </c>
      <c r="G138" s="71">
        <f t="shared" si="93"/>
        <v>5119.9699999999993</v>
      </c>
      <c r="H138" s="71">
        <f t="shared" si="93"/>
        <v>5793.9154415115645</v>
      </c>
      <c r="I138" s="71">
        <f t="shared" si="93"/>
        <v>6563.6951089832437</v>
      </c>
      <c r="J138" s="71">
        <f t="shared" si="93"/>
        <v>8776.0460768892917</v>
      </c>
      <c r="K138" s="71">
        <f t="shared" si="93"/>
        <v>12048.316218658987</v>
      </c>
      <c r="L138" s="71">
        <f t="shared" si="93"/>
        <v>16778.428378728691</v>
      </c>
      <c r="M138" s="71">
        <f t="shared" si="93"/>
        <v>22549.796034158513</v>
      </c>
      <c r="N138" s="71">
        <f t="shared" si="93"/>
        <v>30355.599507952553</v>
      </c>
      <c r="O138" s="71">
        <f t="shared" si="93"/>
        <v>39059.898488334722</v>
      </c>
      <c r="P138" s="71">
        <f t="shared" si="93"/>
        <v>49712.319193001487</v>
      </c>
      <c r="Q138" s="71">
        <f t="shared" si="93"/>
        <v>61255.615069976309</v>
      </c>
    </row>
    <row r="139" spans="1:17">
      <c r="C139" s="74"/>
      <c r="D139" s="74"/>
      <c r="E139" s="74"/>
      <c r="F139" s="74"/>
      <c r="G139" s="74"/>
    </row>
    <row r="140" spans="1:17" ht="15" thickBot="1">
      <c r="B140" s="67" t="s">
        <v>236</v>
      </c>
      <c r="C140" s="75">
        <f>C133-C138</f>
        <v>5976.2799999999988</v>
      </c>
      <c r="D140" s="75">
        <f>D133-D138</f>
        <v>4071.5499999999975</v>
      </c>
      <c r="E140" s="75">
        <f>E133-E138</f>
        <v>5134.9399999999987</v>
      </c>
      <c r="F140" s="75">
        <f>F133-F138</f>
        <v>19569.79</v>
      </c>
      <c r="G140" s="75">
        <f>G133-G138</f>
        <v>18635.120000000003</v>
      </c>
      <c r="H140" s="75">
        <f t="shared" ref="H140:Q140" si="94">H133-H138</f>
        <v>17961.174558488434</v>
      </c>
      <c r="I140" s="75">
        <f t="shared" si="94"/>
        <v>16191.394891016753</v>
      </c>
      <c r="J140" s="75">
        <f t="shared" si="94"/>
        <v>11479.043923110705</v>
      </c>
      <c r="K140" s="75">
        <f t="shared" si="94"/>
        <v>5706.7737813410095</v>
      </c>
      <c r="L140" s="75">
        <f t="shared" si="94"/>
        <v>-1523.3383787286948</v>
      </c>
      <c r="M140" s="75">
        <f t="shared" si="94"/>
        <v>-9794.7060341585166</v>
      </c>
      <c r="N140" s="75">
        <f t="shared" si="94"/>
        <v>-19600.509507952556</v>
      </c>
      <c r="O140" s="75">
        <f t="shared" si="94"/>
        <v>-30304.808488334726</v>
      </c>
      <c r="P140" s="75">
        <f t="shared" si="94"/>
        <v>-42457.229193001491</v>
      </c>
      <c r="Q140" s="75">
        <f t="shared" si="94"/>
        <v>-55500.525069976313</v>
      </c>
    </row>
    <row r="142" spans="1:17">
      <c r="B142" s="64" t="s">
        <v>237</v>
      </c>
      <c r="C142" s="83">
        <f>C140/C12</f>
        <v>0.51902886398276915</v>
      </c>
      <c r="D142" s="83">
        <f t="shared" ref="D142:Q142" si="95">D140/D12</f>
        <v>0.38339053753113239</v>
      </c>
      <c r="E142" s="83">
        <f t="shared" si="95"/>
        <v>0.39595298167259896</v>
      </c>
      <c r="F142" s="83">
        <f t="shared" si="95"/>
        <v>1.5584206984698321</v>
      </c>
      <c r="G142" s="83">
        <f t="shared" si="95"/>
        <v>1.0948806214722133</v>
      </c>
      <c r="H142" s="83">
        <f t="shared" si="95"/>
        <v>0.96832920538098055</v>
      </c>
      <c r="I142" s="83">
        <f t="shared" si="95"/>
        <v>0.77585087906913797</v>
      </c>
      <c r="J142" s="83">
        <f t="shared" si="95"/>
        <v>0.49470945235743974</v>
      </c>
      <c r="K142" s="83">
        <f t="shared" si="95"/>
        <v>0.22418438868887028</v>
      </c>
      <c r="L142" s="83">
        <f t="shared" si="95"/>
        <v>-5.4825285736272385E-2</v>
      </c>
      <c r="M142" s="83">
        <f t="shared" si="95"/>
        <v>-0.32441695805538695</v>
      </c>
      <c r="N142" s="83">
        <f t="shared" si="95"/>
        <v>-0.60710952543002616</v>
      </c>
      <c r="O142" s="83">
        <f t="shared" si="95"/>
        <v>-0.88090743796689874</v>
      </c>
      <c r="P142" s="83">
        <f t="shared" si="95"/>
        <v>-1.1619387395350123</v>
      </c>
      <c r="Q142" s="83">
        <f t="shared" si="95"/>
        <v>-1.434230441688271</v>
      </c>
    </row>
    <row r="144" spans="1:17">
      <c r="A144" s="60" t="s">
        <v>2</v>
      </c>
      <c r="B144" s="62" t="s">
        <v>238</v>
      </c>
      <c r="C144" s="84">
        <f>C3</f>
        <v>2022</v>
      </c>
      <c r="D144" s="84">
        <f t="shared" ref="D144:Q144" si="96">D3</f>
        <v>2023</v>
      </c>
      <c r="E144" s="84">
        <f t="shared" si="96"/>
        <v>2024</v>
      </c>
      <c r="F144" s="84">
        <f t="shared" si="96"/>
        <v>2025</v>
      </c>
      <c r="G144" s="84">
        <f t="shared" si="96"/>
        <v>2026</v>
      </c>
      <c r="H144" s="88">
        <f t="shared" si="96"/>
        <v>2027</v>
      </c>
      <c r="I144" s="88">
        <f t="shared" si="96"/>
        <v>2028</v>
      </c>
      <c r="J144" s="88">
        <f t="shared" si="96"/>
        <v>2029</v>
      </c>
      <c r="K144" s="88">
        <f t="shared" si="96"/>
        <v>2030</v>
      </c>
      <c r="L144" s="88">
        <f t="shared" si="96"/>
        <v>2031</v>
      </c>
      <c r="M144" s="88">
        <f t="shared" si="96"/>
        <v>2032</v>
      </c>
      <c r="N144" s="88">
        <f t="shared" si="96"/>
        <v>2033</v>
      </c>
      <c r="O144" s="88">
        <f t="shared" si="96"/>
        <v>2034</v>
      </c>
      <c r="P144" s="88">
        <f t="shared" si="96"/>
        <v>2035</v>
      </c>
      <c r="Q144" s="88">
        <f t="shared" si="96"/>
        <v>2036</v>
      </c>
    </row>
    <row r="145" spans="2:17">
      <c r="B145" s="85" t="s">
        <v>239</v>
      </c>
    </row>
    <row r="147" spans="2:17" ht="15.5">
      <c r="B147" s="86" t="s">
        <v>240</v>
      </c>
    </row>
    <row r="148" spans="2:17">
      <c r="B148" s="87" t="s">
        <v>241</v>
      </c>
      <c r="C148" s="13">
        <v>114.55</v>
      </c>
      <c r="D148" s="13">
        <v>126.95</v>
      </c>
      <c r="E148" s="13">
        <v>140.76</v>
      </c>
      <c r="F148" s="13">
        <v>183.36</v>
      </c>
      <c r="G148" s="13">
        <v>191.36</v>
      </c>
      <c r="H148" s="74">
        <f>G148+H149</f>
        <v>218.60000000000002</v>
      </c>
      <c r="I148" s="74">
        <f t="shared" ref="I148:Q148" si="97">H148+I149</f>
        <v>237.10000000000002</v>
      </c>
      <c r="J148" s="74">
        <f t="shared" si="97"/>
        <v>251.10000000000002</v>
      </c>
      <c r="K148" s="74">
        <f t="shared" si="97"/>
        <v>265.10000000000002</v>
      </c>
      <c r="L148" s="74">
        <f t="shared" si="97"/>
        <v>278.10000000000002</v>
      </c>
      <c r="M148" s="74">
        <f t="shared" si="97"/>
        <v>291.10000000000002</v>
      </c>
      <c r="N148" s="74">
        <f t="shared" si="97"/>
        <v>303.10000000000002</v>
      </c>
      <c r="O148" s="74">
        <f t="shared" si="97"/>
        <v>315.10000000000002</v>
      </c>
      <c r="P148" s="74">
        <f t="shared" si="97"/>
        <v>326.10000000000002</v>
      </c>
      <c r="Q148" s="74">
        <f t="shared" si="97"/>
        <v>337.1</v>
      </c>
    </row>
    <row r="149" spans="2:17">
      <c r="B149" s="87" t="s">
        <v>242</v>
      </c>
      <c r="C149" s="74"/>
      <c r="D149" s="74">
        <f>D148-C148</f>
        <v>12.400000000000006</v>
      </c>
      <c r="E149" s="74">
        <f>E148-D148</f>
        <v>13.809999999999988</v>
      </c>
      <c r="F149" s="74">
        <f>F148-E148</f>
        <v>42.600000000000023</v>
      </c>
      <c r="G149" s="74">
        <f>G148-F148</f>
        <v>8</v>
      </c>
      <c r="H149" s="13">
        <v>27.24</v>
      </c>
      <c r="I149" s="13">
        <v>18.5</v>
      </c>
      <c r="J149" s="13">
        <v>14</v>
      </c>
      <c r="K149" s="13">
        <v>14</v>
      </c>
      <c r="L149" s="13">
        <v>13</v>
      </c>
      <c r="M149" s="13">
        <v>13</v>
      </c>
      <c r="N149" s="13">
        <v>12</v>
      </c>
      <c r="O149" s="13">
        <v>12</v>
      </c>
      <c r="P149" s="13">
        <v>11</v>
      </c>
      <c r="Q149" s="13">
        <v>11</v>
      </c>
    </row>
    <row r="150" spans="2:17">
      <c r="B150" s="87" t="s">
        <v>243</v>
      </c>
      <c r="C150" s="13">
        <v>93.99</v>
      </c>
      <c r="D150" s="13">
        <v>105.71</v>
      </c>
      <c r="E150" s="13">
        <v>119.04</v>
      </c>
      <c r="F150" s="13">
        <v>135.83000000000001</v>
      </c>
      <c r="G150" s="13">
        <v>154.25</v>
      </c>
      <c r="H150" s="74">
        <f>AVERAGE(G148:H148)*H151</f>
        <v>163.98400000000004</v>
      </c>
      <c r="I150" s="74">
        <f t="shared" ref="I150:Q150" si="98">AVERAGE(H148:I148)*I151</f>
        <v>180.00150000000002</v>
      </c>
      <c r="J150" s="74">
        <f t="shared" si="98"/>
        <v>195.28000000000003</v>
      </c>
      <c r="K150" s="74">
        <f t="shared" si="98"/>
        <v>209.06100000000004</v>
      </c>
      <c r="L150" s="74">
        <f t="shared" si="98"/>
        <v>222.71200000000002</v>
      </c>
      <c r="M150" s="74">
        <f t="shared" si="98"/>
        <v>236.21800000000002</v>
      </c>
      <c r="N150" s="74">
        <f t="shared" si="98"/>
        <v>246.59300000000002</v>
      </c>
      <c r="O150" s="74">
        <f t="shared" si="98"/>
        <v>256.553</v>
      </c>
      <c r="P150" s="74">
        <f t="shared" si="98"/>
        <v>266.09800000000001</v>
      </c>
      <c r="Q150" s="74">
        <f t="shared" si="98"/>
        <v>275.22800000000001</v>
      </c>
    </row>
    <row r="151" spans="2:17">
      <c r="B151" s="87" t="s">
        <v>244</v>
      </c>
      <c r="C151" t="s">
        <v>193</v>
      </c>
      <c r="D151" s="90">
        <f>D150/AVERAGE(C148:D148)</f>
        <v>0.87544513457556927</v>
      </c>
      <c r="E151" s="90">
        <f>E150/AVERAGE(D148:E148)</f>
        <v>0.88932053341302164</v>
      </c>
      <c r="F151" s="90">
        <f>F150/AVERAGE(E148:F148)</f>
        <v>0.83814636554362587</v>
      </c>
      <c r="G151" s="90">
        <f>G150/AVERAGE(F148:G148)</f>
        <v>0.8232813834329632</v>
      </c>
      <c r="H151" s="103">
        <f>CHOOSE($D$26,H172,H173,H174)</f>
        <v>0.8</v>
      </c>
      <c r="I151" s="103">
        <f t="shared" ref="I151:Q151" si="99">CHOOSE($D$26,I172,I173,I174)</f>
        <v>0.79</v>
      </c>
      <c r="J151" s="103">
        <f t="shared" si="99"/>
        <v>0.8</v>
      </c>
      <c r="K151" s="103">
        <f t="shared" si="99"/>
        <v>0.81</v>
      </c>
      <c r="L151" s="103">
        <f t="shared" si="99"/>
        <v>0.82</v>
      </c>
      <c r="M151" s="103">
        <f t="shared" si="99"/>
        <v>0.83</v>
      </c>
      <c r="N151" s="103">
        <f t="shared" si="99"/>
        <v>0.83</v>
      </c>
      <c r="O151" s="103">
        <f t="shared" si="99"/>
        <v>0.83</v>
      </c>
      <c r="P151" s="103">
        <f t="shared" si="99"/>
        <v>0.83</v>
      </c>
      <c r="Q151" s="103">
        <f t="shared" si="99"/>
        <v>0.83</v>
      </c>
    </row>
    <row r="152" spans="2:17">
      <c r="B152" s="87" t="s">
        <v>245</v>
      </c>
      <c r="C152" s="74">
        <f>Model!C7/Model!C150*10</f>
        <v>5596.2155548462615</v>
      </c>
      <c r="D152" s="74">
        <f>Model!D7/Model!D150*10</f>
        <v>5982.4028001135184</v>
      </c>
      <c r="E152" s="74">
        <f>Model!E7/Model!E150*10</f>
        <v>5956.6649865591398</v>
      </c>
      <c r="F152" s="74">
        <f>Model!F7/Model!F150*10</f>
        <v>5591.9259368328048</v>
      </c>
      <c r="G152" s="74">
        <f>Model!G7/Model!G150*10</f>
        <v>5738.1867098865478</v>
      </c>
      <c r="H152" s="74">
        <f>G152*(1+H153)</f>
        <v>5910.3323111831442</v>
      </c>
      <c r="I152" s="74">
        <f t="shared" ref="I152:Q152" si="100">H152*(1+I153)</f>
        <v>6087.6422805186385</v>
      </c>
      <c r="J152" s="74">
        <f t="shared" si="100"/>
        <v>6270.2715489341981</v>
      </c>
      <c r="K152" s="74">
        <f t="shared" si="100"/>
        <v>6458.3796954022246</v>
      </c>
      <c r="L152" s="74">
        <f t="shared" si="100"/>
        <v>6652.1310862642913</v>
      </c>
      <c r="M152" s="74">
        <f t="shared" si="100"/>
        <v>6851.6950188522205</v>
      </c>
      <c r="N152" s="74">
        <f t="shared" si="100"/>
        <v>7057.2458694177876</v>
      </c>
      <c r="O152" s="74">
        <f t="shared" si="100"/>
        <v>7268.9632455003211</v>
      </c>
      <c r="P152" s="74">
        <f t="shared" si="100"/>
        <v>7487.0321428653306</v>
      </c>
      <c r="Q152" s="74">
        <f t="shared" si="100"/>
        <v>7711.6431071512907</v>
      </c>
    </row>
    <row r="153" spans="2:17">
      <c r="B153" s="87" t="s">
        <v>246</v>
      </c>
      <c r="D153" s="90">
        <f>D152/C152-1</f>
        <v>6.9008643695438687E-2</v>
      </c>
      <c r="E153" s="90">
        <f>E152/D152-1</f>
        <v>-4.3022535282796204E-3</v>
      </c>
      <c r="F153" s="90">
        <f>F152/E152-1</f>
        <v>-6.1232090532092553E-2</v>
      </c>
      <c r="G153" s="90">
        <f>G152/F152-1</f>
        <v>2.6155706407045676E-2</v>
      </c>
      <c r="H153" s="103">
        <f>CHOOSE($D$26,H175,H176,H177)</f>
        <v>0.03</v>
      </c>
      <c r="I153" s="103">
        <f t="shared" ref="I153:Q153" si="101">CHOOSE($D$26,I175,I176,I177)</f>
        <v>0.03</v>
      </c>
      <c r="J153" s="103">
        <f t="shared" si="101"/>
        <v>0.03</v>
      </c>
      <c r="K153" s="103">
        <f t="shared" si="101"/>
        <v>0.03</v>
      </c>
      <c r="L153" s="103">
        <f t="shared" si="101"/>
        <v>0.03</v>
      </c>
      <c r="M153" s="103">
        <f t="shared" si="101"/>
        <v>0.03</v>
      </c>
      <c r="N153" s="103">
        <f t="shared" si="101"/>
        <v>0.03</v>
      </c>
      <c r="O153" s="103">
        <f t="shared" si="101"/>
        <v>0.03</v>
      </c>
      <c r="P153" s="103">
        <f t="shared" si="101"/>
        <v>0.03</v>
      </c>
      <c r="Q153" s="103">
        <f t="shared" si="101"/>
        <v>0.03</v>
      </c>
    </row>
    <row r="155" spans="2:17" ht="15.5">
      <c r="B155" s="86" t="s">
        <v>247</v>
      </c>
    </row>
    <row r="156" spans="2:17">
      <c r="B156" s="87" t="s">
        <v>248</v>
      </c>
      <c r="C156" s="91">
        <f>-C8/C150*10</f>
        <v>2138.7647622087457</v>
      </c>
      <c r="D156" s="91">
        <f>-D8/D150*10</f>
        <v>2668.2697947214074</v>
      </c>
      <c r="E156" s="91">
        <f>-E8/E150*10</f>
        <v>2535.8064516129029</v>
      </c>
      <c r="F156" s="91">
        <f>-F8/F150*10</f>
        <v>2364.9326363837149</v>
      </c>
      <c r="G156" s="91">
        <f>-G8/G150*10</f>
        <v>2384.7987034035659</v>
      </c>
      <c r="H156" s="91">
        <f>G156*(1+H157)</f>
        <v>2456.3426645056729</v>
      </c>
      <c r="I156" s="91">
        <f t="shared" ref="I156:Q156" si="102">H156*(1+I157)</f>
        <v>2530.032944440843</v>
      </c>
      <c r="J156" s="91">
        <f t="shared" si="102"/>
        <v>2605.9339327740686</v>
      </c>
      <c r="K156" s="91">
        <f t="shared" si="102"/>
        <v>2684.1119507572907</v>
      </c>
      <c r="L156" s="91">
        <f t="shared" si="102"/>
        <v>2764.6353092800096</v>
      </c>
      <c r="M156" s="91">
        <f t="shared" si="102"/>
        <v>2847.5743685584098</v>
      </c>
      <c r="N156" s="91">
        <f t="shared" si="102"/>
        <v>2933.0015996151624</v>
      </c>
      <c r="O156" s="91">
        <f t="shared" si="102"/>
        <v>3020.9916476036174</v>
      </c>
      <c r="P156" s="91">
        <f t="shared" si="102"/>
        <v>3111.6213970317258</v>
      </c>
      <c r="Q156" s="91">
        <f t="shared" si="102"/>
        <v>3204.9700389426775</v>
      </c>
    </row>
    <row r="157" spans="2:17">
      <c r="B157" s="87" t="s">
        <v>249</v>
      </c>
      <c r="D157" s="90">
        <f>D156/C156-1</f>
        <v>0.24757516201353114</v>
      </c>
      <c r="E157" s="90">
        <f>E156/D156-1</f>
        <v>-4.964390908691263E-2</v>
      </c>
      <c r="F157" s="90">
        <f>F156/E156-1</f>
        <v>-6.7384407481297925E-2</v>
      </c>
      <c r="G157" s="90">
        <f>G156/F156-1</f>
        <v>8.4002676077188365E-3</v>
      </c>
      <c r="H157" s="93">
        <v>0.03</v>
      </c>
      <c r="I157" s="93">
        <v>0.03</v>
      </c>
      <c r="J157" s="93">
        <v>0.03</v>
      </c>
      <c r="K157" s="93">
        <v>0.03</v>
      </c>
      <c r="L157" s="93">
        <v>0.03</v>
      </c>
      <c r="M157" s="93">
        <v>0.03</v>
      </c>
      <c r="N157" s="93">
        <v>0.03</v>
      </c>
      <c r="O157" s="93">
        <v>0.03</v>
      </c>
      <c r="P157" s="93">
        <v>0.03</v>
      </c>
      <c r="Q157" s="93">
        <v>0.03</v>
      </c>
    </row>
    <row r="158" spans="2:17">
      <c r="B158" s="87" t="s">
        <v>250</v>
      </c>
      <c r="C158" s="91">
        <f>-C10/C150*10</f>
        <v>269.6754973933397</v>
      </c>
      <c r="D158" s="91">
        <f>-D10/D150*10</f>
        <v>259.10226090246903</v>
      </c>
      <c r="E158" s="91">
        <f>-E10/E150*10</f>
        <v>255.1730510752688</v>
      </c>
      <c r="F158" s="91">
        <f>-F10/F150*10</f>
        <v>265.37510122947799</v>
      </c>
      <c r="G158" s="91">
        <f>-G10/G150*10</f>
        <v>269.85024311183145</v>
      </c>
      <c r="H158" s="91">
        <f>G158*(1+H159)</f>
        <v>283.34275526742306</v>
      </c>
      <c r="I158" s="91">
        <f t="shared" ref="I158:Q158" si="103">H158*(1+I159)</f>
        <v>297.50989303079422</v>
      </c>
      <c r="J158" s="91">
        <f t="shared" si="103"/>
        <v>312.38538768233394</v>
      </c>
      <c r="K158" s="91">
        <f t="shared" si="103"/>
        <v>328.00465706645065</v>
      </c>
      <c r="L158" s="91">
        <f t="shared" si="103"/>
        <v>344.40488991977321</v>
      </c>
      <c r="M158" s="91">
        <f t="shared" si="103"/>
        <v>361.62513441576186</v>
      </c>
      <c r="N158" s="91">
        <f t="shared" si="103"/>
        <v>379.70639113655</v>
      </c>
      <c r="O158" s="91">
        <f t="shared" si="103"/>
        <v>398.6917106933775</v>
      </c>
      <c r="P158" s="91">
        <f t="shared" si="103"/>
        <v>418.62629622804639</v>
      </c>
      <c r="Q158" s="91">
        <f t="shared" si="103"/>
        <v>439.55761103944872</v>
      </c>
    </row>
    <row r="159" spans="2:17">
      <c r="B159" s="87" t="s">
        <v>251</v>
      </c>
      <c r="D159" s="90">
        <f>D158/C158-1</f>
        <v>-3.9207256844135507E-2</v>
      </c>
      <c r="E159" s="90">
        <f>E158/D158-1</f>
        <v>-1.5164706836268249E-2</v>
      </c>
      <c r="F159" s="90">
        <f>F158/E158-1</f>
        <v>3.9980907510487329E-2</v>
      </c>
      <c r="G159" s="90">
        <f>G158/F158-1</f>
        <v>1.6863458032122081E-2</v>
      </c>
      <c r="H159" s="93">
        <v>0.05</v>
      </c>
      <c r="I159" s="93">
        <v>0.05</v>
      </c>
      <c r="J159" s="93">
        <v>0.05</v>
      </c>
      <c r="K159" s="93">
        <v>0.05</v>
      </c>
      <c r="L159" s="93">
        <v>0.05</v>
      </c>
      <c r="M159" s="93">
        <v>0.05</v>
      </c>
      <c r="N159" s="93">
        <v>0.05</v>
      </c>
      <c r="O159" s="93">
        <v>0.05</v>
      </c>
      <c r="P159" s="93">
        <v>0.05</v>
      </c>
      <c r="Q159" s="93">
        <v>0.05</v>
      </c>
    </row>
    <row r="160" spans="2:17">
      <c r="B160" s="87" t="s">
        <v>252</v>
      </c>
      <c r="C160" s="91">
        <f>-C11/C150*10</f>
        <v>1962.7141185232472</v>
      </c>
      <c r="D160" s="91">
        <f>-D11/D150*10</f>
        <v>2050.4096112004545</v>
      </c>
      <c r="E160" s="91">
        <f>-E11/E150*10</f>
        <v>2076.2567204301076</v>
      </c>
      <c r="F160" s="91">
        <f>-F11/F150*10</f>
        <v>2037.1206655378044</v>
      </c>
      <c r="G160" s="91">
        <f>-G11/G150*10</f>
        <v>1980.1192868719611</v>
      </c>
      <c r="H160" s="91">
        <f>G160*(1+H161)</f>
        <v>2039.5228654781199</v>
      </c>
      <c r="I160" s="91">
        <f t="shared" ref="I160:Q160" si="104">H160*(1+I161)</f>
        <v>2100.7085514424634</v>
      </c>
      <c r="J160" s="91">
        <f t="shared" si="104"/>
        <v>2163.7298079857374</v>
      </c>
      <c r="K160" s="91">
        <f t="shared" si="104"/>
        <v>2228.6417022253095</v>
      </c>
      <c r="L160" s="91">
        <f t="shared" si="104"/>
        <v>2295.500953292069</v>
      </c>
      <c r="M160" s="91">
        <f t="shared" si="104"/>
        <v>2364.3659818908309</v>
      </c>
      <c r="N160" s="91">
        <f t="shared" si="104"/>
        <v>2435.2969613475557</v>
      </c>
      <c r="O160" s="91">
        <f t="shared" si="104"/>
        <v>2508.3558701879824</v>
      </c>
      <c r="P160" s="91">
        <f t="shared" si="104"/>
        <v>2583.6065462936222</v>
      </c>
      <c r="Q160" s="91">
        <f t="shared" si="104"/>
        <v>2661.1147426824309</v>
      </c>
    </row>
    <row r="161" spans="1:22">
      <c r="B161" s="87" t="s">
        <v>253</v>
      </c>
      <c r="D161" s="90">
        <f>D160/C160-1</f>
        <v>4.468072647441379E-2</v>
      </c>
      <c r="E161" s="90">
        <f>E160/D160-1</f>
        <v>1.2605827191046304E-2</v>
      </c>
      <c r="F161" s="90">
        <f>F160/E160-1</f>
        <v>-1.8849333277146996E-2</v>
      </c>
      <c r="G161" s="90">
        <f>G160/F160-1</f>
        <v>-2.798134623546944E-2</v>
      </c>
      <c r="H161" s="93">
        <v>0.03</v>
      </c>
      <c r="I161" s="93">
        <v>0.03</v>
      </c>
      <c r="J161" s="93">
        <v>0.03</v>
      </c>
      <c r="K161" s="93">
        <v>0.03</v>
      </c>
      <c r="L161" s="93">
        <v>0.03</v>
      </c>
      <c r="M161" s="93">
        <v>0.03</v>
      </c>
      <c r="N161" s="93">
        <v>0.03</v>
      </c>
      <c r="O161" s="93">
        <v>0.03</v>
      </c>
      <c r="P161" s="93">
        <v>0.03</v>
      </c>
      <c r="Q161" s="93">
        <v>0.03</v>
      </c>
    </row>
    <row r="162" spans="1:22">
      <c r="B162" s="92" t="s">
        <v>254</v>
      </c>
      <c r="C162" s="91">
        <f>IF(C150=0,0,C12/C150*10)</f>
        <v>1225.061176720928</v>
      </c>
      <c r="D162" s="91">
        <f t="shared" ref="D162:Q162" si="105">IF(D150=0,0,D12/D150*10)</f>
        <v>1004.6211332891876</v>
      </c>
      <c r="E162" s="91">
        <f t="shared" si="105"/>
        <v>1089.4287634408599</v>
      </c>
      <c r="F162" s="91">
        <f t="shared" si="105"/>
        <v>924.49753368180836</v>
      </c>
      <c r="G162" s="91">
        <f t="shared" si="105"/>
        <v>1103.4184764991892</v>
      </c>
      <c r="H162" s="91">
        <f t="shared" si="105"/>
        <v>1131.1240259319272</v>
      </c>
      <c r="I162" s="91">
        <f t="shared" si="105"/>
        <v>1159.390891604538</v>
      </c>
      <c r="J162" s="91">
        <f t="shared" si="105"/>
        <v>1188.222420492059</v>
      </c>
      <c r="K162" s="91">
        <f t="shared" si="105"/>
        <v>1217.6213853531731</v>
      </c>
      <c r="L162" s="91">
        <f t="shared" si="105"/>
        <v>1247.58993377244</v>
      </c>
      <c r="M162" s="91">
        <f t="shared" si="105"/>
        <v>1278.1295339872179</v>
      </c>
      <c r="N162" s="91">
        <f t="shared" si="105"/>
        <v>1309.2409173185197</v>
      </c>
      <c r="O162" s="91">
        <f t="shared" si="105"/>
        <v>1340.9240170153439</v>
      </c>
      <c r="P162" s="91">
        <f t="shared" si="105"/>
        <v>1373.1779033119358</v>
      </c>
      <c r="Q162" s="91">
        <f t="shared" si="105"/>
        <v>1406.0007144867338</v>
      </c>
    </row>
    <row r="164" spans="1:22" ht="15.5">
      <c r="B164" s="86" t="s">
        <v>255</v>
      </c>
    </row>
    <row r="165" spans="1:22">
      <c r="B165" s="87" t="s">
        <v>256</v>
      </c>
      <c r="H165" s="94">
        <f>16000/37</f>
        <v>432.43243243243245</v>
      </c>
      <c r="I165" s="91">
        <f>H165*(1+I166)</f>
        <v>445.40540540540542</v>
      </c>
      <c r="J165" s="91">
        <f t="shared" ref="J165:Q165" si="106">I165*(1+J166)</f>
        <v>458.7675675675676</v>
      </c>
      <c r="K165" s="91">
        <f t="shared" si="106"/>
        <v>472.53059459459462</v>
      </c>
      <c r="L165" s="91">
        <f t="shared" si="106"/>
        <v>486.70651243243248</v>
      </c>
      <c r="M165" s="91">
        <f t="shared" si="106"/>
        <v>501.30770780540547</v>
      </c>
      <c r="N165" s="91">
        <f t="shared" si="106"/>
        <v>516.3469390395677</v>
      </c>
      <c r="O165" s="91">
        <f t="shared" si="106"/>
        <v>531.83734721075473</v>
      </c>
      <c r="P165" s="91">
        <f t="shared" si="106"/>
        <v>547.79246762707737</v>
      </c>
      <c r="Q165" s="91">
        <f t="shared" si="106"/>
        <v>564.22624165588968</v>
      </c>
    </row>
    <row r="166" spans="1:22">
      <c r="B166" s="87" t="s">
        <v>257</v>
      </c>
      <c r="I166" s="93">
        <v>0.03</v>
      </c>
      <c r="J166" s="93">
        <v>0.03</v>
      </c>
      <c r="K166" s="93">
        <v>0.03</v>
      </c>
      <c r="L166" s="93">
        <v>0.03</v>
      </c>
      <c r="M166" s="93">
        <v>0.03</v>
      </c>
      <c r="N166" s="93">
        <v>0.03</v>
      </c>
      <c r="O166" s="93">
        <v>0.03</v>
      </c>
      <c r="P166" s="93">
        <v>0.03</v>
      </c>
      <c r="Q166" s="93">
        <v>0.03</v>
      </c>
    </row>
    <row r="167" spans="1:22">
      <c r="B167" s="87" t="s">
        <v>258</v>
      </c>
      <c r="H167" s="93">
        <v>0.02</v>
      </c>
      <c r="I167" s="93">
        <v>0.02</v>
      </c>
      <c r="J167" s="93">
        <v>0.02</v>
      </c>
      <c r="K167" s="93">
        <v>0.02</v>
      </c>
      <c r="L167" s="93">
        <v>0.02</v>
      </c>
      <c r="M167" s="93">
        <v>0.02</v>
      </c>
      <c r="N167" s="93">
        <v>0.02</v>
      </c>
      <c r="O167" s="93">
        <v>0.02</v>
      </c>
      <c r="P167" s="93">
        <v>0.02</v>
      </c>
      <c r="Q167" s="93">
        <v>0.02</v>
      </c>
    </row>
    <row r="168" spans="1:22">
      <c r="B168" s="87" t="s">
        <v>259</v>
      </c>
      <c r="H168" s="89">
        <v>8.74</v>
      </c>
      <c r="I168" s="89">
        <v>0</v>
      </c>
      <c r="J168" s="89">
        <v>0</v>
      </c>
      <c r="K168" s="89">
        <v>0</v>
      </c>
      <c r="L168" s="89">
        <v>0</v>
      </c>
      <c r="M168" s="89">
        <v>0</v>
      </c>
      <c r="N168" s="89">
        <v>0</v>
      </c>
      <c r="O168" s="89">
        <v>0</v>
      </c>
      <c r="P168" s="89">
        <v>0</v>
      </c>
      <c r="Q168" s="89">
        <v>0</v>
      </c>
    </row>
    <row r="170" spans="1:22" ht="15.5">
      <c r="A170" t="s">
        <v>2</v>
      </c>
      <c r="B170" s="86" t="s">
        <v>261</v>
      </c>
      <c r="C170" s="98"/>
      <c r="D170" s="98"/>
      <c r="E170" s="98"/>
      <c r="F170" s="98"/>
      <c r="G170" s="98"/>
      <c r="H170" s="98"/>
      <c r="I170" s="98"/>
      <c r="J170" s="98"/>
      <c r="K170" s="98"/>
      <c r="L170" s="98"/>
      <c r="M170" s="98"/>
      <c r="N170" s="98"/>
      <c r="O170" s="98"/>
      <c r="P170" s="98"/>
      <c r="Q170" s="98"/>
    </row>
    <row r="171" spans="1:22">
      <c r="B171" s="102" t="str">
        <f>"Active Scenario : "&amp;CHOOSE(Model!$D$26,"Base","Bull","Bear")</f>
        <v>Active Scenario : Base</v>
      </c>
    </row>
    <row r="172" spans="1:22">
      <c r="B172" s="87" t="s">
        <v>262</v>
      </c>
      <c r="H172" s="100">
        <v>0.8</v>
      </c>
      <c r="I172" s="100">
        <v>0.79</v>
      </c>
      <c r="J172" s="100">
        <v>0.8</v>
      </c>
      <c r="K172" s="100">
        <v>0.81</v>
      </c>
      <c r="L172" s="100">
        <v>0.82</v>
      </c>
      <c r="M172" s="100">
        <v>0.83</v>
      </c>
      <c r="N172" s="100">
        <v>0.83</v>
      </c>
      <c r="O172" s="100">
        <v>0.83</v>
      </c>
      <c r="P172" s="100">
        <v>0.83</v>
      </c>
      <c r="Q172" s="100">
        <v>0.83</v>
      </c>
    </row>
    <row r="173" spans="1:22">
      <c r="B173" s="87" t="s">
        <v>263</v>
      </c>
      <c r="H173" s="99">
        <f>H172+$V$173</f>
        <v>0.82000000000000006</v>
      </c>
      <c r="I173" s="99">
        <f t="shared" ref="I173:Q173" si="107">I172+$V$173</f>
        <v>0.81</v>
      </c>
      <c r="J173" s="99">
        <f t="shared" si="107"/>
        <v>0.82000000000000006</v>
      </c>
      <c r="K173" s="99">
        <f t="shared" si="107"/>
        <v>0.83000000000000007</v>
      </c>
      <c r="L173" s="99">
        <f t="shared" si="107"/>
        <v>0.84</v>
      </c>
      <c r="M173" s="99">
        <f t="shared" si="107"/>
        <v>0.85</v>
      </c>
      <c r="N173" s="99">
        <f t="shared" si="107"/>
        <v>0.85</v>
      </c>
      <c r="O173" s="99">
        <f t="shared" si="107"/>
        <v>0.85</v>
      </c>
      <c r="P173" s="99">
        <f t="shared" si="107"/>
        <v>0.85</v>
      </c>
      <c r="Q173" s="99">
        <f t="shared" si="107"/>
        <v>0.85</v>
      </c>
      <c r="S173" t="s">
        <v>268</v>
      </c>
      <c r="V173" s="101">
        <v>0.02</v>
      </c>
    </row>
    <row r="174" spans="1:22">
      <c r="B174" s="87" t="s">
        <v>264</v>
      </c>
      <c r="H174" s="99">
        <f>H172+$V$174</f>
        <v>0.76</v>
      </c>
      <c r="I174" s="99">
        <f t="shared" ref="I174:Q174" si="108">I172+$V$174</f>
        <v>0.75</v>
      </c>
      <c r="J174" s="99">
        <f t="shared" si="108"/>
        <v>0.76</v>
      </c>
      <c r="K174" s="99">
        <f t="shared" si="108"/>
        <v>0.77</v>
      </c>
      <c r="L174" s="99">
        <f t="shared" si="108"/>
        <v>0.77999999999999992</v>
      </c>
      <c r="M174" s="99">
        <f t="shared" si="108"/>
        <v>0.78999999999999992</v>
      </c>
      <c r="N174" s="99">
        <f t="shared" si="108"/>
        <v>0.78999999999999992</v>
      </c>
      <c r="O174" s="99">
        <f t="shared" si="108"/>
        <v>0.78999999999999992</v>
      </c>
      <c r="P174" s="99">
        <f t="shared" si="108"/>
        <v>0.78999999999999992</v>
      </c>
      <c r="Q174" s="99">
        <f t="shared" si="108"/>
        <v>0.78999999999999992</v>
      </c>
      <c r="S174" s="60" t="s">
        <v>269</v>
      </c>
      <c r="V174" s="101">
        <v>-0.04</v>
      </c>
    </row>
    <row r="175" spans="1:22">
      <c r="B175" s="87" t="s">
        <v>265</v>
      </c>
      <c r="H175" s="100">
        <v>0.03</v>
      </c>
      <c r="I175" s="100">
        <v>0.03</v>
      </c>
      <c r="J175" s="100">
        <v>0.03</v>
      </c>
      <c r="K175" s="100">
        <v>0.03</v>
      </c>
      <c r="L175" s="100">
        <v>0.03</v>
      </c>
      <c r="M175" s="100">
        <v>0.03</v>
      </c>
      <c r="N175" s="100">
        <v>0.03</v>
      </c>
      <c r="O175" s="100">
        <v>0.03</v>
      </c>
      <c r="P175" s="100">
        <v>0.03</v>
      </c>
      <c r="Q175" s="100">
        <v>0.03</v>
      </c>
      <c r="V175" s="101"/>
    </row>
    <row r="176" spans="1:22">
      <c r="B176" s="87" t="s">
        <v>266</v>
      </c>
      <c r="H176" s="99">
        <f>H175+$V$176</f>
        <v>0.04</v>
      </c>
      <c r="I176" s="99">
        <f t="shared" ref="I176:Q176" si="109">I175+$V$176</f>
        <v>0.04</v>
      </c>
      <c r="J176" s="99">
        <f t="shared" si="109"/>
        <v>0.04</v>
      </c>
      <c r="K176" s="99">
        <f t="shared" si="109"/>
        <v>0.04</v>
      </c>
      <c r="L176" s="99">
        <f t="shared" si="109"/>
        <v>0.04</v>
      </c>
      <c r="M176" s="99">
        <f t="shared" si="109"/>
        <v>0.04</v>
      </c>
      <c r="N176" s="99">
        <f t="shared" si="109"/>
        <v>0.04</v>
      </c>
      <c r="O176" s="99">
        <f t="shared" si="109"/>
        <v>0.04</v>
      </c>
      <c r="P176" s="99">
        <f t="shared" si="109"/>
        <v>0.04</v>
      </c>
      <c r="Q176" s="99">
        <f t="shared" si="109"/>
        <v>0.04</v>
      </c>
      <c r="S176" s="60" t="s">
        <v>270</v>
      </c>
      <c r="V176" s="101">
        <v>0.01</v>
      </c>
    </row>
    <row r="177" spans="1:22">
      <c r="B177" s="87" t="s">
        <v>267</v>
      </c>
      <c r="H177" s="99">
        <f>H175+$V$177</f>
        <v>1.4999999999999999E-2</v>
      </c>
      <c r="I177" s="99">
        <f t="shared" ref="I177:Q177" si="110">I175+$V$177</f>
        <v>1.4999999999999999E-2</v>
      </c>
      <c r="J177" s="99">
        <f t="shared" si="110"/>
        <v>1.4999999999999999E-2</v>
      </c>
      <c r="K177" s="99">
        <f t="shared" si="110"/>
        <v>1.4999999999999999E-2</v>
      </c>
      <c r="L177" s="99">
        <f t="shared" si="110"/>
        <v>1.4999999999999999E-2</v>
      </c>
      <c r="M177" s="99">
        <f t="shared" si="110"/>
        <v>1.4999999999999999E-2</v>
      </c>
      <c r="N177" s="99">
        <f t="shared" si="110"/>
        <v>1.4999999999999999E-2</v>
      </c>
      <c r="O177" s="99">
        <f t="shared" si="110"/>
        <v>1.4999999999999999E-2</v>
      </c>
      <c r="P177" s="99">
        <f t="shared" si="110"/>
        <v>1.4999999999999999E-2</v>
      </c>
      <c r="Q177" s="99">
        <f t="shared" si="110"/>
        <v>1.4999999999999999E-2</v>
      </c>
      <c r="S177" s="60" t="s">
        <v>271</v>
      </c>
      <c r="V177" s="101">
        <v>-1.4999999999999999E-2</v>
      </c>
    </row>
    <row r="179" spans="1:22" ht="15.5">
      <c r="A179" s="108" t="s">
        <v>2</v>
      </c>
      <c r="B179" s="203" t="s">
        <v>272</v>
      </c>
      <c r="C179" s="109"/>
      <c r="D179" s="109" t="s">
        <v>273</v>
      </c>
      <c r="E179" s="109"/>
      <c r="F179" s="109"/>
      <c r="G179" s="109"/>
      <c r="H179" s="109"/>
      <c r="I179" s="109"/>
      <c r="J179" s="109"/>
      <c r="K179" s="109"/>
      <c r="L179" s="109"/>
      <c r="M179" s="109"/>
      <c r="N179" s="109"/>
      <c r="O179" s="109"/>
      <c r="P179" s="109"/>
    </row>
    <row r="180" spans="1:22">
      <c r="A180" s="114"/>
      <c r="B180" s="114"/>
      <c r="C180" s="114"/>
      <c r="D180" s="114"/>
      <c r="E180" s="114"/>
      <c r="F180" s="114"/>
      <c r="G180" s="114"/>
      <c r="H180" s="114"/>
      <c r="I180" s="114"/>
      <c r="J180" s="114"/>
      <c r="K180" s="114"/>
      <c r="L180" s="114"/>
      <c r="M180" s="114"/>
      <c r="N180" s="114"/>
      <c r="O180" s="114"/>
      <c r="P180" s="114"/>
    </row>
    <row r="181" spans="1:22" ht="15" thickBot="1">
      <c r="A181" s="108"/>
      <c r="B181" s="118"/>
      <c r="C181" s="118"/>
      <c r="D181" s="118"/>
      <c r="E181" s="118" t="s">
        <v>274</v>
      </c>
      <c r="F181" s="118"/>
      <c r="G181" s="118"/>
      <c r="H181" s="118"/>
      <c r="I181" s="118"/>
      <c r="J181" s="118"/>
      <c r="K181" s="118" t="s">
        <v>275</v>
      </c>
      <c r="L181" s="118"/>
      <c r="M181" s="118"/>
      <c r="N181" s="118"/>
      <c r="O181" s="118" t="s">
        <v>276</v>
      </c>
      <c r="P181" s="118"/>
    </row>
    <row r="182" spans="1:22">
      <c r="A182" s="108"/>
      <c r="B182" s="110"/>
      <c r="C182" s="110" t="s">
        <v>277</v>
      </c>
      <c r="D182" s="110" t="s">
        <v>278</v>
      </c>
      <c r="E182" s="110" t="s">
        <v>279</v>
      </c>
      <c r="F182" s="110" t="s">
        <v>280</v>
      </c>
      <c r="G182" s="110" t="s">
        <v>281</v>
      </c>
      <c r="H182" s="119" t="s">
        <v>282</v>
      </c>
      <c r="I182" s="110"/>
      <c r="J182" s="110" t="s">
        <v>283</v>
      </c>
      <c r="K182" s="110" t="s">
        <v>150</v>
      </c>
      <c r="L182" s="110" t="s">
        <v>284</v>
      </c>
      <c r="M182" s="110"/>
      <c r="N182" s="110" t="s">
        <v>285</v>
      </c>
      <c r="O182" s="110" t="s">
        <v>286</v>
      </c>
      <c r="P182" s="110" t="s">
        <v>287</v>
      </c>
    </row>
    <row r="183" spans="1:22">
      <c r="A183" s="108"/>
      <c r="B183" s="111" t="s">
        <v>288</v>
      </c>
      <c r="C183" s="113" t="s">
        <v>289</v>
      </c>
      <c r="D183" s="110" t="s">
        <v>290</v>
      </c>
      <c r="E183" s="113" t="s">
        <v>291</v>
      </c>
      <c r="F183" s="110"/>
      <c r="G183" s="110" t="s">
        <v>292</v>
      </c>
      <c r="H183" s="120" t="s">
        <v>291</v>
      </c>
      <c r="I183" s="110"/>
      <c r="J183" s="120" t="s">
        <v>291</v>
      </c>
      <c r="K183" s="120" t="s">
        <v>291</v>
      </c>
      <c r="L183" s="120" t="s">
        <v>291</v>
      </c>
      <c r="M183" s="110"/>
      <c r="N183" s="110" t="s">
        <v>293</v>
      </c>
      <c r="O183" s="110" t="s">
        <v>293</v>
      </c>
      <c r="P183" s="110" t="s">
        <v>293</v>
      </c>
    </row>
    <row r="185" spans="1:22">
      <c r="B185" s="112" t="str">
        <f>'Comps Data'!C4</f>
        <v>Ambuja Cements</v>
      </c>
      <c r="C185" s="133">
        <f>'Comps Data'!D4</f>
        <v>350</v>
      </c>
      <c r="D185" s="133">
        <f>'Comps Data'!E4</f>
        <v>248.48</v>
      </c>
      <c r="E185" s="117">
        <f t="shared" ref="E185:E190" si="111">C185*D185</f>
        <v>86968</v>
      </c>
      <c r="F185" s="133">
        <f>'Comps Data'!F4</f>
        <v>865.93</v>
      </c>
      <c r="G185" s="133">
        <f>'Comps Data'!G4</f>
        <v>958.6</v>
      </c>
      <c r="H185" s="117">
        <f t="shared" ref="H185:H190" si="112">E185+F185-G185</f>
        <v>86875.329999999987</v>
      </c>
      <c r="I185" s="117"/>
      <c r="J185" s="133">
        <f>'Comps Data'!H4</f>
        <v>40655.68</v>
      </c>
      <c r="K185" s="133">
        <f>'Comps Data'!I4</f>
        <v>6576.88</v>
      </c>
      <c r="L185" s="133">
        <f>'Comps Data'!J4</f>
        <v>5637.08</v>
      </c>
      <c r="M185" s="115"/>
      <c r="N185" s="134">
        <f t="shared" ref="N185:N190" si="113">H185/J185</f>
        <v>2.1368559079567722</v>
      </c>
      <c r="O185" s="134">
        <f t="shared" ref="O185:O190" si="114">H185/K185</f>
        <v>13.209201019328312</v>
      </c>
      <c r="P185" s="134">
        <f t="shared" ref="P185:P190" si="115">E185/L185</f>
        <v>15.427845622201566</v>
      </c>
    </row>
    <row r="186" spans="1:22">
      <c r="B186" s="112" t="str">
        <f>'Comps Data'!C5</f>
        <v>Shree Cement</v>
      </c>
      <c r="C186" s="133">
        <f>'Comps Data'!D5</f>
        <v>22145</v>
      </c>
      <c r="D186" s="133">
        <f>'Comps Data'!E5</f>
        <v>3.61</v>
      </c>
      <c r="E186" s="117">
        <f t="shared" si="111"/>
        <v>79943.45</v>
      </c>
      <c r="F186" s="133">
        <f>'Comps Data'!F5</f>
        <v>1868.14</v>
      </c>
      <c r="G186" s="133">
        <f>'Comps Data'!G5</f>
        <v>341.79</v>
      </c>
      <c r="H186" s="117">
        <f t="shared" si="112"/>
        <v>81469.8</v>
      </c>
      <c r="I186" s="117"/>
      <c r="J186" s="133">
        <f>'Comps Data'!H5</f>
        <v>20943.47</v>
      </c>
      <c r="K186" s="133">
        <f>'Comps Data'!I5</f>
        <v>4637.8599999999997</v>
      </c>
      <c r="L186" s="133">
        <f>'Comps Data'!J5</f>
        <v>1748.66</v>
      </c>
      <c r="M186" s="115"/>
      <c r="N186" s="134">
        <f t="shared" si="113"/>
        <v>3.8899857568970182</v>
      </c>
      <c r="O186" s="134">
        <f t="shared" si="114"/>
        <v>17.566248226552766</v>
      </c>
      <c r="P186" s="134">
        <f t="shared" si="115"/>
        <v>45.716977571397521</v>
      </c>
    </row>
    <row r="187" spans="1:22">
      <c r="B187" s="112" t="str">
        <f>'Comps Data'!C6</f>
        <v>J K Cements</v>
      </c>
      <c r="C187" s="133">
        <f>'Comps Data'!D6</f>
        <v>4851</v>
      </c>
      <c r="D187" s="133">
        <f>'Comps Data'!E6</f>
        <v>7.73</v>
      </c>
      <c r="E187" s="117">
        <f t="shared" si="111"/>
        <v>37498.230000000003</v>
      </c>
      <c r="F187" s="133">
        <f>'Comps Data'!F6</f>
        <v>6182.99</v>
      </c>
      <c r="G187" s="133">
        <f>'Comps Data'!G6</f>
        <v>469.11</v>
      </c>
      <c r="H187" s="117">
        <f t="shared" si="112"/>
        <v>43212.11</v>
      </c>
      <c r="I187" s="117"/>
      <c r="J187" s="133">
        <f>'Comps Data'!H6</f>
        <v>13722.3</v>
      </c>
      <c r="K187" s="133">
        <f>'Comps Data'!I6</f>
        <v>2378.71</v>
      </c>
      <c r="L187" s="133">
        <f>'Comps Data'!J6</f>
        <v>987.99</v>
      </c>
      <c r="M187" s="115"/>
      <c r="N187" s="134">
        <f t="shared" si="113"/>
        <v>3.1490427989476983</v>
      </c>
      <c r="O187" s="134">
        <f t="shared" si="114"/>
        <v>18.166195122566432</v>
      </c>
      <c r="P187" s="134">
        <f t="shared" si="115"/>
        <v>37.954058239455868</v>
      </c>
    </row>
    <row r="188" spans="1:22">
      <c r="B188" s="112" t="str">
        <f>'Comps Data'!C7</f>
        <v>Dalmia Bharat Ltd</v>
      </c>
      <c r="C188" s="133">
        <f>'Comps Data'!D7</f>
        <v>1598.6</v>
      </c>
      <c r="D188" s="133">
        <f>'Comps Data'!E7</f>
        <v>18.760000000000002</v>
      </c>
      <c r="E188" s="117">
        <f t="shared" si="111"/>
        <v>29989.736000000001</v>
      </c>
      <c r="F188" s="133">
        <f>'Comps Data'!F7</f>
        <v>7406</v>
      </c>
      <c r="G188" s="133">
        <f>'Comps Data'!G7</f>
        <v>224</v>
      </c>
      <c r="H188" s="117">
        <f t="shared" si="112"/>
        <v>37171.736000000004</v>
      </c>
      <c r="I188" s="117"/>
      <c r="J188" s="133">
        <f>'Comps Data'!H7</f>
        <v>14804</v>
      </c>
      <c r="K188" s="133">
        <f>'Comps Data'!I7</f>
        <v>3083</v>
      </c>
      <c r="L188" s="133">
        <f>'Comps Data'!J7</f>
        <v>1157</v>
      </c>
      <c r="M188" s="115"/>
      <c r="N188" s="134">
        <f t="shared" si="113"/>
        <v>2.5109251553634158</v>
      </c>
      <c r="O188" s="134">
        <f t="shared" si="114"/>
        <v>12.057001621796953</v>
      </c>
      <c r="P188" s="134">
        <f t="shared" si="115"/>
        <v>25.920255834053588</v>
      </c>
    </row>
    <row r="189" spans="1:22">
      <c r="B189" s="112" t="str">
        <f>'Comps Data'!C8</f>
        <v>ACC</v>
      </c>
      <c r="C189" s="133">
        <f>'Comps Data'!D8</f>
        <v>1136</v>
      </c>
      <c r="D189" s="133">
        <f>'Comps Data'!E8</f>
        <v>18.78</v>
      </c>
      <c r="E189" s="117">
        <f t="shared" si="111"/>
        <v>21334.080000000002</v>
      </c>
      <c r="F189" s="133">
        <f>'Comps Data'!F8</f>
        <v>428.61</v>
      </c>
      <c r="G189" s="133">
        <f>'Comps Data'!G8</f>
        <v>557.73</v>
      </c>
      <c r="H189" s="117">
        <f t="shared" si="112"/>
        <v>21204.960000000003</v>
      </c>
      <c r="I189" s="117"/>
      <c r="J189" s="133">
        <f>'Comps Data'!H8</f>
        <v>25961.85</v>
      </c>
      <c r="K189" s="133">
        <f>'Comps Data'!I8</f>
        <v>2957.97</v>
      </c>
      <c r="L189" s="133">
        <f>'Comps Data'!J8</f>
        <v>2137.23</v>
      </c>
      <c r="M189" s="115"/>
      <c r="N189" s="134">
        <f t="shared" si="113"/>
        <v>0.81677384315832668</v>
      </c>
      <c r="O189" s="134">
        <f t="shared" si="114"/>
        <v>7.1687542470004777</v>
      </c>
      <c r="P189" s="134">
        <f t="shared" si="115"/>
        <v>9.9821170393453222</v>
      </c>
    </row>
    <row r="190" spans="1:22">
      <c r="B190" s="112" t="str">
        <f>'Comps Data'!C9</f>
        <v>The Ramco Cement</v>
      </c>
      <c r="C190" s="133">
        <f>'Comps Data'!D9</f>
        <v>809.4</v>
      </c>
      <c r="D190" s="133">
        <f>'Comps Data'!E9</f>
        <v>23.63</v>
      </c>
      <c r="E190" s="117">
        <f t="shared" si="111"/>
        <v>19126.121999999999</v>
      </c>
      <c r="F190" s="133">
        <f>'Comps Data'!F9</f>
        <v>3871.1</v>
      </c>
      <c r="G190" s="133">
        <f>'Comps Data'!G9</f>
        <v>227.29</v>
      </c>
      <c r="H190" s="117">
        <f t="shared" si="112"/>
        <v>22769.931999999997</v>
      </c>
      <c r="I190" s="117"/>
      <c r="J190" s="133">
        <f>'Comps Data'!H9</f>
        <v>9028.76</v>
      </c>
      <c r="K190" s="133">
        <f>'Comps Data'!I9</f>
        <v>1437.39</v>
      </c>
      <c r="L190" s="133">
        <f>'Comps Data'!J9</f>
        <v>698.79</v>
      </c>
      <c r="M190" s="115"/>
      <c r="N190" s="134">
        <f t="shared" si="113"/>
        <v>2.5219334659465971</v>
      </c>
      <c r="O190" s="134">
        <f t="shared" si="114"/>
        <v>15.841164889139339</v>
      </c>
      <c r="P190" s="134">
        <f t="shared" si="115"/>
        <v>27.370343021508607</v>
      </c>
    </row>
    <row r="192" spans="1:22">
      <c r="B192" s="136" t="s">
        <v>308</v>
      </c>
      <c r="C192" s="135"/>
      <c r="D192" s="135"/>
      <c r="E192" s="135"/>
      <c r="F192" s="135"/>
      <c r="G192" s="135"/>
      <c r="H192" s="135"/>
      <c r="I192" s="135"/>
      <c r="J192" s="135"/>
      <c r="K192" s="135"/>
      <c r="L192" s="135"/>
      <c r="M192" s="135"/>
      <c r="N192" s="137">
        <f>AVERAGE(N185:N190)</f>
        <v>2.5042528213783046</v>
      </c>
      <c r="O192" s="137">
        <f>AVERAGE(O185:O190)</f>
        <v>14.001427521064047</v>
      </c>
      <c r="P192" s="137">
        <f>AVERAGE(P185:P190)</f>
        <v>27.061932887993745</v>
      </c>
    </row>
    <row r="193" spans="1:16">
      <c r="B193" s="136" t="s">
        <v>309</v>
      </c>
      <c r="C193" s="135"/>
      <c r="D193" s="135"/>
      <c r="E193" s="135"/>
      <c r="F193" s="135"/>
      <c r="G193" s="135"/>
      <c r="H193" s="135"/>
      <c r="I193" s="135"/>
      <c r="J193" s="135"/>
      <c r="K193" s="135"/>
      <c r="L193" s="135"/>
      <c r="M193" s="135"/>
      <c r="N193" s="137">
        <f>MEDIAN(N185:N190)</f>
        <v>2.5164293106550062</v>
      </c>
      <c r="O193" s="137">
        <f>MEDIAN(O185:O190)</f>
        <v>14.525182954233825</v>
      </c>
      <c r="P193" s="137">
        <f>MEDIAN(P185:P190)</f>
        <v>26.645299427781097</v>
      </c>
    </row>
    <row r="195" spans="1:16">
      <c r="B195" s="136" t="str">
        <f>'Comps Data'!C3</f>
        <v>UltraTech Cem.</v>
      </c>
      <c r="C195" s="138">
        <f>'Comps Data'!D3</f>
        <v>10675</v>
      </c>
      <c r="D195" s="138">
        <f>'Comps Data'!E3</f>
        <v>29.47</v>
      </c>
      <c r="E195" s="139">
        <f>C195*D195</f>
        <v>314592.25</v>
      </c>
      <c r="F195" s="138">
        <f>'Comps Data'!F3</f>
        <v>23755.09</v>
      </c>
      <c r="G195" s="138">
        <f>'Comps Data'!G3</f>
        <v>1384.35</v>
      </c>
      <c r="H195" s="139">
        <f>E195+F195-G195</f>
        <v>336962.99000000005</v>
      </c>
      <c r="I195" s="139"/>
      <c r="J195" s="138">
        <f>'Comps Data'!H3</f>
        <v>88511.53</v>
      </c>
      <c r="K195" s="138">
        <f>'Comps Data'!I3</f>
        <v>17004.400000000001</v>
      </c>
      <c r="L195" s="138">
        <f>'Comps Data'!J3</f>
        <v>8188.35</v>
      </c>
      <c r="M195" s="140"/>
      <c r="N195" s="141">
        <f>H195/J195</f>
        <v>3.8069954276013536</v>
      </c>
      <c r="O195" s="141">
        <f>H195/K195</f>
        <v>19.816223448048742</v>
      </c>
      <c r="P195" s="141">
        <f>E195/L195</f>
        <v>38.419492327514085</v>
      </c>
    </row>
    <row r="197" spans="1:16">
      <c r="B197" s="144" t="s">
        <v>313</v>
      </c>
      <c r="C197" s="152" t="s">
        <v>310</v>
      </c>
      <c r="D197" s="152" t="s">
        <v>282</v>
      </c>
      <c r="E197" s="152" t="s">
        <v>236</v>
      </c>
      <c r="F197" s="152" t="s">
        <v>417</v>
      </c>
      <c r="G197" s="152" t="s">
        <v>311</v>
      </c>
      <c r="H197" s="152" t="s">
        <v>278</v>
      </c>
      <c r="I197" s="152" t="s">
        <v>312</v>
      </c>
    </row>
    <row r="198" spans="1:16">
      <c r="B198" t="s">
        <v>285</v>
      </c>
      <c r="C198" s="291">
        <f>N193</f>
        <v>2.5164293106550062</v>
      </c>
      <c r="D198" s="151">
        <f>C198*J195</f>
        <v>222733.0084229199</v>
      </c>
      <c r="E198" s="151">
        <f>F195-G195</f>
        <v>22370.74</v>
      </c>
      <c r="F198" s="240">
        <f>$G$73</f>
        <v>4088.9</v>
      </c>
      <c r="G198" s="151">
        <f>D198-E198-F198</f>
        <v>196273.36842291991</v>
      </c>
      <c r="H198" s="151">
        <f>$D$195</f>
        <v>29.47</v>
      </c>
      <c r="I198" s="151">
        <f>G198/H198</f>
        <v>6660.1075135025421</v>
      </c>
    </row>
    <row r="199" spans="1:16">
      <c r="B199" t="s">
        <v>286</v>
      </c>
      <c r="C199" s="291">
        <f>O193</f>
        <v>14.525182954233825</v>
      </c>
      <c r="D199" s="151">
        <f>C199*K195</f>
        <v>246992.02102697367</v>
      </c>
      <c r="E199" s="151">
        <f>E198</f>
        <v>22370.74</v>
      </c>
      <c r="F199" s="240">
        <f>$G$73</f>
        <v>4088.9</v>
      </c>
      <c r="G199" s="244">
        <f>D199-E199-F199</f>
        <v>220532.38102697369</v>
      </c>
      <c r="H199" s="244">
        <f>$D$195</f>
        <v>29.47</v>
      </c>
      <c r="I199" s="244">
        <f>G199/H199</f>
        <v>7483.2840524931689</v>
      </c>
    </row>
    <row r="200" spans="1:16">
      <c r="B200" t="s">
        <v>314</v>
      </c>
      <c r="C200" s="291">
        <f>P193</f>
        <v>26.645299427781097</v>
      </c>
      <c r="D200" s="151">
        <f>SUM(E200:G200)</f>
        <v>244640.67756947136</v>
      </c>
      <c r="E200" s="244">
        <f>E199</f>
        <v>22370.74</v>
      </c>
      <c r="F200" s="240">
        <f>$G$73</f>
        <v>4088.9</v>
      </c>
      <c r="G200" s="151">
        <f>C200*L195</f>
        <v>218181.03756947134</v>
      </c>
      <c r="H200" s="244">
        <f>$D$195</f>
        <v>29.47</v>
      </c>
      <c r="I200" s="244">
        <f>G200/H200</f>
        <v>7403.4963545799574</v>
      </c>
    </row>
    <row r="202" spans="1:16" ht="15.5">
      <c r="A202" s="171" t="s">
        <v>2</v>
      </c>
      <c r="B202" s="203" t="s">
        <v>379</v>
      </c>
      <c r="C202" s="109"/>
      <c r="D202" s="109" t="s">
        <v>273</v>
      </c>
      <c r="E202" s="109"/>
      <c r="F202" s="109"/>
      <c r="G202" s="109"/>
      <c r="H202" s="109"/>
      <c r="I202" s="109"/>
      <c r="J202" s="109"/>
      <c r="K202" s="109"/>
      <c r="L202" s="109"/>
      <c r="M202" s="109"/>
      <c r="N202" s="109"/>
      <c r="O202" s="109"/>
      <c r="P202" s="109"/>
    </row>
    <row r="204" spans="1:16">
      <c r="B204" s="210" t="s">
        <v>380</v>
      </c>
      <c r="C204" s="208"/>
    </row>
    <row r="205" spans="1:16">
      <c r="B205" s="208" t="s">
        <v>381</v>
      </c>
      <c r="C205" s="216">
        <v>46305</v>
      </c>
    </row>
    <row r="206" spans="1:16">
      <c r="B206" s="208" t="s">
        <v>382</v>
      </c>
      <c r="C206" s="217">
        <v>46477</v>
      </c>
    </row>
    <row r="207" spans="1:16">
      <c r="B207" s="208" t="s">
        <v>333</v>
      </c>
      <c r="C207" s="215">
        <f>'Beta &amp; WACC'!D35</f>
        <v>0.24640000000000001</v>
      </c>
    </row>
    <row r="208" spans="1:16">
      <c r="B208" s="208" t="s">
        <v>286</v>
      </c>
      <c r="C208" s="213">
        <f>O193</f>
        <v>14.525182954233825</v>
      </c>
    </row>
    <row r="209" spans="2:17">
      <c r="B209" s="208" t="s">
        <v>383</v>
      </c>
      <c r="C209" s="218">
        <v>4.4999999999999998E-2</v>
      </c>
    </row>
    <row r="210" spans="2:17">
      <c r="B210" s="208" t="s">
        <v>384</v>
      </c>
      <c r="C210" s="215">
        <f>'Beta &amp; WACC'!D51</f>
        <v>0.11567105243012768</v>
      </c>
    </row>
    <row r="211" spans="2:17">
      <c r="B211" s="208" t="s">
        <v>385</v>
      </c>
      <c r="C211" s="211">
        <f>D195</f>
        <v>29.47</v>
      </c>
    </row>
    <row r="212" spans="2:17">
      <c r="B212" s="219" t="s">
        <v>386</v>
      </c>
      <c r="C212" s="251">
        <f>H240</f>
        <v>4985.9607539040671</v>
      </c>
    </row>
    <row r="215" spans="2:17">
      <c r="B215" s="229" t="s">
        <v>390</v>
      </c>
      <c r="D215" t="s">
        <v>401</v>
      </c>
      <c r="E215">
        <f>YEAR(C206)</f>
        <v>2027</v>
      </c>
      <c r="F215">
        <f>E215+1</f>
        <v>2028</v>
      </c>
      <c r="G215" s="220">
        <f t="shared" ref="G215:N215" si="116">F215+1</f>
        <v>2029</v>
      </c>
      <c r="H215" s="220">
        <f t="shared" si="116"/>
        <v>2030</v>
      </c>
      <c r="I215" s="220">
        <f t="shared" si="116"/>
        <v>2031</v>
      </c>
      <c r="J215" s="220">
        <f t="shared" si="116"/>
        <v>2032</v>
      </c>
      <c r="K215" s="220">
        <f t="shared" si="116"/>
        <v>2033</v>
      </c>
      <c r="L215" s="220">
        <f t="shared" si="116"/>
        <v>2034</v>
      </c>
      <c r="M215" s="220">
        <f t="shared" si="116"/>
        <v>2035</v>
      </c>
      <c r="N215" s="220">
        <f t="shared" si="116"/>
        <v>2036</v>
      </c>
      <c r="O215" s="226" t="s">
        <v>402</v>
      </c>
      <c r="P215" s="220"/>
      <c r="Q215" s="220"/>
    </row>
    <row r="216" spans="2:17">
      <c r="B216" s="220" t="s">
        <v>316</v>
      </c>
      <c r="C216" s="231"/>
      <c r="D216" s="232">
        <f>C205</f>
        <v>46305</v>
      </c>
      <c r="E216" s="232">
        <f>DATE(YEAR($C$206)+E217,MONTH($C$206),DAY($C$206))</f>
        <v>46477</v>
      </c>
      <c r="F216" s="232">
        <f t="shared" ref="F216:N216" si="117">DATE(YEAR($C$206)+F217,MONTH($C$206),DAY($C$206))</f>
        <v>46843</v>
      </c>
      <c r="G216" s="232">
        <f t="shared" si="117"/>
        <v>47208</v>
      </c>
      <c r="H216" s="232">
        <f t="shared" si="117"/>
        <v>47573</v>
      </c>
      <c r="I216" s="232">
        <f t="shared" si="117"/>
        <v>47938</v>
      </c>
      <c r="J216" s="232">
        <f t="shared" si="117"/>
        <v>48304</v>
      </c>
      <c r="K216" s="232">
        <f t="shared" si="117"/>
        <v>48669</v>
      </c>
      <c r="L216" s="232">
        <f t="shared" si="117"/>
        <v>49034</v>
      </c>
      <c r="M216" s="232">
        <f t="shared" si="117"/>
        <v>49399</v>
      </c>
      <c r="N216" s="232">
        <f t="shared" si="117"/>
        <v>49765</v>
      </c>
      <c r="O216" s="232">
        <f>N216</f>
        <v>49765</v>
      </c>
    </row>
    <row r="217" spans="2:17">
      <c r="B217" s="220" t="s">
        <v>391</v>
      </c>
      <c r="E217" s="227">
        <v>0</v>
      </c>
      <c r="F217" s="227">
        <f>E217+1</f>
        <v>1</v>
      </c>
      <c r="G217" s="227">
        <f t="shared" ref="G217:N217" si="118">F217+1</f>
        <v>2</v>
      </c>
      <c r="H217" s="227">
        <f t="shared" si="118"/>
        <v>3</v>
      </c>
      <c r="I217" s="227">
        <f t="shared" si="118"/>
        <v>4</v>
      </c>
      <c r="J217" s="227">
        <f t="shared" si="118"/>
        <v>5</v>
      </c>
      <c r="K217" s="227">
        <f t="shared" si="118"/>
        <v>6</v>
      </c>
      <c r="L217" s="227">
        <f t="shared" si="118"/>
        <v>7</v>
      </c>
      <c r="M217" s="227">
        <f t="shared" si="118"/>
        <v>8</v>
      </c>
      <c r="N217" s="227">
        <f t="shared" si="118"/>
        <v>9</v>
      </c>
    </row>
    <row r="218" spans="2:17">
      <c r="B218" s="220" t="s">
        <v>392</v>
      </c>
      <c r="E218">
        <f>YEARFRAC($D$216,E216)</f>
        <v>0.47499999999999998</v>
      </c>
      <c r="F218" s="220">
        <f t="shared" ref="F218:N218" si="119">YEARFRAC($D$216,F216)</f>
        <v>1.4750000000000001</v>
      </c>
      <c r="G218" s="220">
        <f t="shared" si="119"/>
        <v>2.4750000000000001</v>
      </c>
      <c r="H218" s="220">
        <f t="shared" si="119"/>
        <v>3.4750000000000001</v>
      </c>
      <c r="I218" s="220">
        <f t="shared" si="119"/>
        <v>4.4749999999999996</v>
      </c>
      <c r="J218" s="220">
        <f t="shared" si="119"/>
        <v>5.4749999999999996</v>
      </c>
      <c r="K218" s="220">
        <f t="shared" si="119"/>
        <v>6.4749999999999996</v>
      </c>
      <c r="L218" s="220">
        <f t="shared" si="119"/>
        <v>7.4749999999999996</v>
      </c>
      <c r="M218" s="220">
        <f t="shared" si="119"/>
        <v>8.4749999999999996</v>
      </c>
      <c r="N218" s="220">
        <f t="shared" si="119"/>
        <v>9.4749999999999996</v>
      </c>
    </row>
    <row r="220" spans="2:17">
      <c r="B220" s="221" t="s">
        <v>152</v>
      </c>
      <c r="E220" s="225">
        <f>H14</f>
        <v>13555.4683710179</v>
      </c>
      <c r="F220" s="225">
        <f t="shared" ref="F220:N220" si="120">I14</f>
        <v>15599.461952825575</v>
      </c>
      <c r="G220" s="225">
        <f t="shared" si="120"/>
        <v>17645.153892345807</v>
      </c>
      <c r="H220" s="225">
        <f t="shared" si="120"/>
        <v>19711.949976358505</v>
      </c>
      <c r="I220" s="225">
        <f t="shared" si="120"/>
        <v>21841.77209762816</v>
      </c>
      <c r="J220" s="225">
        <f t="shared" si="120"/>
        <v>24060.986071218598</v>
      </c>
      <c r="K220" s="225">
        <f t="shared" si="120"/>
        <v>25951.578425224994</v>
      </c>
      <c r="L220" s="225">
        <f t="shared" si="120"/>
        <v>27881.427221635618</v>
      </c>
      <c r="M220" s="225">
        <f t="shared" si="120"/>
        <v>29818.737378508209</v>
      </c>
      <c r="N220" s="225">
        <f t="shared" si="120"/>
        <v>31791.865722748458</v>
      </c>
      <c r="O220" s="225"/>
    </row>
    <row r="221" spans="2:17">
      <c r="B221" s="230" t="s">
        <v>393</v>
      </c>
      <c r="E221" s="234">
        <f>-E220*$C$207</f>
        <v>-3340.0674066188108</v>
      </c>
      <c r="F221" s="234">
        <f t="shared" ref="F221:N221" si="121">-F220*$C$207</f>
        <v>-3843.7074251762219</v>
      </c>
      <c r="G221" s="234">
        <f t="shared" si="121"/>
        <v>-4347.7659190740069</v>
      </c>
      <c r="H221" s="234">
        <f t="shared" si="121"/>
        <v>-4857.0244741747356</v>
      </c>
      <c r="I221" s="234">
        <f t="shared" si="121"/>
        <v>-5381.8126448555786</v>
      </c>
      <c r="J221" s="234">
        <f t="shared" si="121"/>
        <v>-5928.626967948263</v>
      </c>
      <c r="K221" s="234">
        <f t="shared" si="121"/>
        <v>-6394.4689239754389</v>
      </c>
      <c r="L221" s="234">
        <f t="shared" si="121"/>
        <v>-6869.9836674110165</v>
      </c>
      <c r="M221" s="234">
        <f t="shared" si="121"/>
        <v>-7347.3368900644227</v>
      </c>
      <c r="N221" s="234">
        <f t="shared" si="121"/>
        <v>-7833.5157140852207</v>
      </c>
      <c r="O221" s="234"/>
    </row>
    <row r="222" spans="2:17">
      <c r="B222" s="222" t="s">
        <v>394</v>
      </c>
      <c r="C222" s="231"/>
      <c r="D222" s="231"/>
      <c r="E222" s="223">
        <f>SUM(E220:E221)</f>
        <v>10215.400964399088</v>
      </c>
      <c r="F222" s="223">
        <f t="shared" ref="F222:N222" si="122">SUM(F220:F221)</f>
        <v>11755.754527649353</v>
      </c>
      <c r="G222" s="223">
        <f t="shared" si="122"/>
        <v>13297.3879732718</v>
      </c>
      <c r="H222" s="223">
        <f t="shared" si="122"/>
        <v>14854.925502183769</v>
      </c>
      <c r="I222" s="223">
        <f t="shared" si="122"/>
        <v>16459.959452772582</v>
      </c>
      <c r="J222" s="223">
        <f t="shared" si="122"/>
        <v>18132.359103270333</v>
      </c>
      <c r="K222" s="223">
        <f t="shared" si="122"/>
        <v>19557.109501249557</v>
      </c>
      <c r="L222" s="223">
        <f t="shared" si="122"/>
        <v>21011.443554224603</v>
      </c>
      <c r="M222" s="223">
        <f t="shared" si="122"/>
        <v>22471.400488443785</v>
      </c>
      <c r="N222" s="223">
        <f t="shared" si="122"/>
        <v>23958.350008663238</v>
      </c>
      <c r="O222" s="228"/>
    </row>
    <row r="223" spans="2:17">
      <c r="B223" s="233" t="s">
        <v>395</v>
      </c>
      <c r="E223" s="225">
        <f>-H13</f>
        <v>4993.1558558242195</v>
      </c>
      <c r="F223" s="225">
        <f t="shared" ref="F223:N223" si="123">-I13</f>
        <v>5269.7480046898536</v>
      </c>
      <c r="G223" s="225">
        <f t="shared" si="123"/>
        <v>5558.4535350231254</v>
      </c>
      <c r="H223" s="225">
        <f t="shared" si="123"/>
        <v>5743.7644679734713</v>
      </c>
      <c r="I223" s="225">
        <f t="shared" si="123"/>
        <v>5943.5528354046073</v>
      </c>
      <c r="J223" s="225">
        <f t="shared" si="123"/>
        <v>6130.7341547206688</v>
      </c>
      <c r="K223" s="225">
        <f t="shared" si="123"/>
        <v>6333.3861272075828</v>
      </c>
      <c r="L223" s="225">
        <f t="shared" si="123"/>
        <v>6520.380712098131</v>
      </c>
      <c r="M223" s="225">
        <f t="shared" si="123"/>
        <v>6721.2519930417402</v>
      </c>
      <c r="N223" s="225">
        <f t="shared" si="123"/>
        <v>6905.2107419270251</v>
      </c>
      <c r="O223" s="225"/>
    </row>
    <row r="224" spans="2:17">
      <c r="B224" s="233" t="s">
        <v>396</v>
      </c>
      <c r="E224" s="225">
        <f>-H118</f>
        <v>-9938.3998674341128</v>
      </c>
      <c r="F224" s="225">
        <f t="shared" ref="F224:N224" si="124">-I118</f>
        <v>-10431.569483913552</v>
      </c>
      <c r="G224" s="225">
        <f t="shared" si="124"/>
        <v>-8871.6632020976867</v>
      </c>
      <c r="H224" s="225">
        <f t="shared" si="124"/>
        <v>-9315.8189593252937</v>
      </c>
      <c r="I224" s="225">
        <f t="shared" si="124"/>
        <v>-9290.2034985898081</v>
      </c>
      <c r="J224" s="225">
        <f t="shared" si="124"/>
        <v>-9753.9875893967401</v>
      </c>
      <c r="K224" s="225">
        <f t="shared" si="124"/>
        <v>-9676.6981298294941</v>
      </c>
      <c r="L224" s="225">
        <f t="shared" si="124"/>
        <v>-10111.796821574746</v>
      </c>
      <c r="M224" s="225">
        <f t="shared" si="124"/>
        <v>-10010.285702202209</v>
      </c>
      <c r="N224" s="225">
        <f t="shared" si="124"/>
        <v>-10451.408876404857</v>
      </c>
      <c r="O224" s="225"/>
    </row>
    <row r="225" spans="2:15">
      <c r="B225" s="220" t="s">
        <v>397</v>
      </c>
      <c r="E225" s="225">
        <f>H114</f>
        <v>-963.48930639181981</v>
      </c>
      <c r="F225" s="225">
        <f t="shared" ref="F225:N225" si="125">I114</f>
        <v>-790.26719876740117</v>
      </c>
      <c r="G225" s="225">
        <f t="shared" si="125"/>
        <v>-879.29872277159666</v>
      </c>
      <c r="H225" s="225">
        <f t="shared" si="125"/>
        <v>-817.70177706538379</v>
      </c>
      <c r="I225" s="225">
        <f t="shared" si="125"/>
        <v>-877.99050723788605</v>
      </c>
      <c r="J225" s="225">
        <f t="shared" si="125"/>
        <v>-902.71509507061091</v>
      </c>
      <c r="K225" s="225">
        <f t="shared" si="125"/>
        <v>-808.98153010014903</v>
      </c>
      <c r="L225" s="225">
        <f t="shared" si="125"/>
        <v>-823.95501722131849</v>
      </c>
      <c r="M225" s="225">
        <f t="shared" si="125"/>
        <v>-844.55305369916641</v>
      </c>
      <c r="N225" s="225">
        <f t="shared" si="125"/>
        <v>-861.7845254429576</v>
      </c>
      <c r="O225" s="225"/>
    </row>
    <row r="226" spans="2:15">
      <c r="B226" s="222" t="s">
        <v>398</v>
      </c>
      <c r="C226" s="231"/>
      <c r="D226" s="231"/>
      <c r="E226" s="223">
        <f>SUM(E222:E225)</f>
        <v>4306.6676463973754</v>
      </c>
      <c r="F226" s="223">
        <f t="shared" ref="F226:N226" si="126">SUM(F222:F225)</f>
        <v>5803.665849658254</v>
      </c>
      <c r="G226" s="223">
        <f t="shared" si="126"/>
        <v>9104.8795834256416</v>
      </c>
      <c r="H226" s="223">
        <f t="shared" si="126"/>
        <v>10465.169233766563</v>
      </c>
      <c r="I226" s="223">
        <f t="shared" si="126"/>
        <v>12235.318282349495</v>
      </c>
      <c r="J226" s="223">
        <f t="shared" si="126"/>
        <v>13606.390573523649</v>
      </c>
      <c r="K226" s="223">
        <f t="shared" si="126"/>
        <v>15404.815968527495</v>
      </c>
      <c r="L226" s="223">
        <f t="shared" si="126"/>
        <v>16596.072427526669</v>
      </c>
      <c r="M226" s="223">
        <f t="shared" si="126"/>
        <v>18337.81372558415</v>
      </c>
      <c r="N226" s="223">
        <f t="shared" si="126"/>
        <v>19550.367348742446</v>
      </c>
      <c r="O226" s="228">
        <f>N226*(1+C209)/(C210-C209)</f>
        <v>289087.72654312861</v>
      </c>
    </row>
    <row r="227" spans="2:15">
      <c r="B227" s="220" t="s">
        <v>399</v>
      </c>
      <c r="E227" s="240">
        <f>E226/(1+$C$210)^E218</f>
        <v>4088.4781341967155</v>
      </c>
      <c r="F227" s="240">
        <f t="shared" ref="F227:N227" si="127">F226/(1+$C$210)^F218</f>
        <v>4938.4033261380782</v>
      </c>
      <c r="G227" s="240">
        <f t="shared" si="127"/>
        <v>6944.1996461198141</v>
      </c>
      <c r="H227" s="240">
        <f t="shared" si="127"/>
        <v>7154.1506774996114</v>
      </c>
      <c r="I227" s="240">
        <f t="shared" si="127"/>
        <v>7497.0590835924058</v>
      </c>
      <c r="J227" s="240">
        <f t="shared" si="127"/>
        <v>7472.7840239181551</v>
      </c>
      <c r="K227" s="240">
        <f t="shared" si="127"/>
        <v>7583.328105362325</v>
      </c>
      <c r="L227" s="240">
        <f t="shared" si="127"/>
        <v>7322.7210244998751</v>
      </c>
      <c r="M227" s="240">
        <f t="shared" si="127"/>
        <v>7252.346734863504</v>
      </c>
      <c r="N227" s="240">
        <f t="shared" si="127"/>
        <v>6930.2636982136191</v>
      </c>
      <c r="O227" s="240">
        <f>O226/(1+C210)^N218</f>
        <v>102476.54896314876</v>
      </c>
    </row>
    <row r="228" spans="2:15">
      <c r="B228" s="219" t="s">
        <v>400</v>
      </c>
      <c r="C228" s="251">
        <f>SUM(E227:O227)</f>
        <v>169660.28341755286</v>
      </c>
    </row>
    <row r="229" spans="2:15">
      <c r="C229" s="240"/>
    </row>
    <row r="230" spans="2:15" s="235" customFormat="1">
      <c r="B230" s="235" t="s">
        <v>415</v>
      </c>
      <c r="C230" s="241">
        <f>O227/C228</f>
        <v>0.60401024269741765</v>
      </c>
    </row>
    <row r="231" spans="2:15" s="235" customFormat="1">
      <c r="C231" s="240"/>
    </row>
    <row r="232" spans="2:15" s="235" customFormat="1">
      <c r="C232" s="240"/>
    </row>
    <row r="233" spans="2:15">
      <c r="B233" s="81"/>
      <c r="C233" s="240"/>
    </row>
    <row r="234" spans="2:15">
      <c r="B234" s="229" t="s">
        <v>405</v>
      </c>
      <c r="C234" s="26"/>
      <c r="F234" s="235"/>
      <c r="G234" s="235"/>
      <c r="H234" s="247" t="s">
        <v>407</v>
      </c>
      <c r="I234" s="237" t="s">
        <v>408</v>
      </c>
    </row>
    <row r="235" spans="2:15">
      <c r="B235" t="s">
        <v>406</v>
      </c>
      <c r="C235" s="240">
        <f>(N220+N223)*C208</f>
        <v>562082.1154433873</v>
      </c>
      <c r="F235" s="238" t="s">
        <v>403</v>
      </c>
      <c r="G235" s="242"/>
      <c r="H235" s="245">
        <f>C228</f>
        <v>169660.28341755286</v>
      </c>
      <c r="I235" s="245">
        <f>C237</f>
        <v>266432.02532209409</v>
      </c>
    </row>
    <row r="236" spans="2:15">
      <c r="B236" s="224" t="s">
        <v>404</v>
      </c>
      <c r="C236" s="252">
        <f>C235/(1+C210)^N218</f>
        <v>199248.29086768997</v>
      </c>
      <c r="F236" s="243" t="s">
        <v>416</v>
      </c>
      <c r="G236" s="243"/>
      <c r="H236" s="246">
        <f>G140</f>
        <v>18635.120000000003</v>
      </c>
      <c r="I236" s="246">
        <f>H236</f>
        <v>18635.120000000003</v>
      </c>
    </row>
    <row r="237" spans="2:15">
      <c r="B237" s="219" t="s">
        <v>403</v>
      </c>
      <c r="C237" s="251">
        <f>SUM(E227:N227)+C236</f>
        <v>266432.02532209409</v>
      </c>
      <c r="F237" t="s">
        <v>417</v>
      </c>
      <c r="H237" s="244">
        <f>G73</f>
        <v>4088.9</v>
      </c>
      <c r="I237" s="244">
        <f>H237</f>
        <v>4088.9</v>
      </c>
    </row>
    <row r="238" spans="2:15">
      <c r="F238" s="237" t="s">
        <v>311</v>
      </c>
      <c r="G238" s="235"/>
      <c r="H238" s="253">
        <f>H235-H236-H237</f>
        <v>146936.26341755287</v>
      </c>
      <c r="I238" s="253">
        <f>I235-I236-I237</f>
        <v>243708.0053220941</v>
      </c>
    </row>
    <row r="239" spans="2:15">
      <c r="B239" t="s">
        <v>415</v>
      </c>
      <c r="C239" s="241">
        <f>C236/C237</f>
        <v>0.74783911816462534</v>
      </c>
      <c r="F239" s="248" t="s">
        <v>409</v>
      </c>
      <c r="G239" s="235"/>
      <c r="H239" s="249">
        <f>C211</f>
        <v>29.47</v>
      </c>
      <c r="I239" s="249">
        <f>H239</f>
        <v>29.47</v>
      </c>
    </row>
    <row r="240" spans="2:15">
      <c r="F240" s="237" t="s">
        <v>410</v>
      </c>
      <c r="G240" s="235"/>
      <c r="H240" s="253">
        <f>H238/H239</f>
        <v>4985.9607539040671</v>
      </c>
      <c r="I240" s="253">
        <f>I238/I239</f>
        <v>8269.6981785576554</v>
      </c>
    </row>
    <row r="241" spans="1:14">
      <c r="F241" s="248" t="s">
        <v>411</v>
      </c>
      <c r="G241" s="235"/>
      <c r="H241" s="244">
        <f>'Comps Data'!D3</f>
        <v>10675</v>
      </c>
      <c r="I241" s="244">
        <f>H241</f>
        <v>10675</v>
      </c>
    </row>
    <row r="242" spans="1:14">
      <c r="F242" s="239" t="s">
        <v>412</v>
      </c>
      <c r="G242" s="235"/>
      <c r="H242" s="244">
        <f>H241*H239</f>
        <v>314592.25</v>
      </c>
      <c r="I242" s="244">
        <f>I241*I239</f>
        <v>314592.25</v>
      </c>
    </row>
    <row r="243" spans="1:14">
      <c r="F243" s="237" t="s">
        <v>413</v>
      </c>
      <c r="G243" s="237"/>
      <c r="H243" s="250">
        <f>H240/H241-1</f>
        <v>-0.53293107691765185</v>
      </c>
      <c r="I243" s="250">
        <f>I240/I241-1</f>
        <v>-0.22532101371825242</v>
      </c>
    </row>
    <row r="245" spans="1:14">
      <c r="A245" t="s">
        <v>2</v>
      </c>
      <c r="B245" s="236" t="s">
        <v>414</v>
      </c>
      <c r="C245" s="236"/>
      <c r="D245" s="236"/>
      <c r="E245" s="236"/>
      <c r="F245" s="236"/>
      <c r="G245" s="236"/>
      <c r="H245" s="254"/>
      <c r="I245" s="254"/>
      <c r="J245" s="236"/>
      <c r="K245" s="236"/>
      <c r="L245" s="236"/>
      <c r="M245" s="236"/>
      <c r="N245" s="236"/>
    </row>
    <row r="247" spans="1:14" ht="15" thickBot="1">
      <c r="B247" s="256"/>
      <c r="C247" s="258"/>
      <c r="D247" s="258"/>
      <c r="E247" s="261" t="s">
        <v>386</v>
      </c>
      <c r="F247" s="258"/>
      <c r="G247" s="258"/>
      <c r="H247" s="258"/>
    </row>
    <row r="248" spans="1:14">
      <c r="B248" s="256"/>
      <c r="C248" s="256"/>
      <c r="D248" s="256"/>
      <c r="E248" s="256" t="s">
        <v>418</v>
      </c>
      <c r="F248" s="256"/>
      <c r="G248" s="256"/>
      <c r="H248" s="256"/>
    </row>
    <row r="249" spans="1:14">
      <c r="B249" s="256"/>
      <c r="C249" s="260">
        <f>H240</f>
        <v>4985.9607539040671</v>
      </c>
      <c r="D249" s="262">
        <f>E249-0.005</f>
        <v>3.5000000000000003E-2</v>
      </c>
      <c r="E249" s="262">
        <f>F249-0.005</f>
        <v>0.04</v>
      </c>
      <c r="F249" s="255">
        <v>4.4999999999999998E-2</v>
      </c>
      <c r="G249" s="262">
        <f>F249+0.005</f>
        <v>4.9999999999999996E-2</v>
      </c>
      <c r="H249" s="262">
        <f>G249+0.005</f>
        <v>5.4999999999999993E-2</v>
      </c>
    </row>
    <row r="250" spans="1:14">
      <c r="B250" s="256"/>
      <c r="C250" s="259">
        <f>C251+0.01</f>
        <v>0.1356710524301277</v>
      </c>
      <c r="D250" s="265">
        <f t="dataTable" ref="D250:H254" dt2D="1" dtr="1" r1="C209" r2="C210"/>
        <v>3348.9280706388381</v>
      </c>
      <c r="E250" s="265">
        <v>3466.0920781749251</v>
      </c>
      <c r="F250" s="265">
        <v>3596.1779614801676</v>
      </c>
      <c r="G250" s="265">
        <v>3741.4481899773104</v>
      </c>
      <c r="H250" s="265">
        <v>3904.726145424956</v>
      </c>
    </row>
    <row r="251" spans="1:14">
      <c r="B251" s="256"/>
      <c r="C251" s="259">
        <f>C252+0.01</f>
        <v>0.12567105243012769</v>
      </c>
      <c r="D251" s="265">
        <v>3870.5230952568886</v>
      </c>
      <c r="E251" s="265">
        <v>4027.1006788506761</v>
      </c>
      <c r="F251" s="265">
        <v>4203.0876514231677</v>
      </c>
      <c r="G251" s="265">
        <v>4402.331466198958</v>
      </c>
      <c r="H251" s="265">
        <v>4629.7684106826682</v>
      </c>
    </row>
    <row r="252" spans="1:14">
      <c r="B252" s="257" t="s">
        <v>349</v>
      </c>
      <c r="C252" s="266">
        <f>'Beta &amp; WACC'!D51</f>
        <v>0.11567105243012768</v>
      </c>
      <c r="D252" s="265">
        <v>4525.7608672738943</v>
      </c>
      <c r="E252" s="265">
        <v>4740.6568497660792</v>
      </c>
      <c r="F252" s="265">
        <v>4985.9607539040671</v>
      </c>
      <c r="G252" s="265">
        <v>5268.6180877588986</v>
      </c>
      <c r="H252" s="265">
        <v>5597.8639218182325</v>
      </c>
    </row>
    <row r="253" spans="1:14">
      <c r="B253" s="256"/>
      <c r="C253" s="259">
        <f>C252-0.01</f>
        <v>0.10567105243012768</v>
      </c>
      <c r="D253" s="265">
        <v>5371.7247612539077</v>
      </c>
      <c r="E253" s="265">
        <v>5676.7947025147205</v>
      </c>
      <c r="F253" s="265">
        <v>6032.1472627579778</v>
      </c>
      <c r="G253" s="265">
        <v>6451.330583285363</v>
      </c>
      <c r="H253" s="265">
        <v>6953.2402930278558</v>
      </c>
    </row>
    <row r="254" spans="1:14">
      <c r="B254" s="256"/>
      <c r="C254" s="259">
        <f>C253-0.01</f>
        <v>9.567105243012769E-2</v>
      </c>
      <c r="D254" s="265">
        <v>6503.1683028260923</v>
      </c>
      <c r="E254" s="265">
        <v>6955.9034791679742</v>
      </c>
      <c r="F254" s="265">
        <v>7497.9865483656758</v>
      </c>
      <c r="G254" s="265">
        <v>8158.7625401814948</v>
      </c>
      <c r="H254" s="265">
        <v>8982.0069099550765</v>
      </c>
    </row>
    <row r="256" spans="1:14" ht="15" thickBot="1">
      <c r="B256" s="256"/>
      <c r="C256" s="258"/>
      <c r="D256" s="258"/>
      <c r="E256" s="261" t="s">
        <v>386</v>
      </c>
      <c r="F256" s="258"/>
      <c r="G256" s="258"/>
      <c r="H256" s="258"/>
    </row>
    <row r="257" spans="2:8">
      <c r="B257" s="256"/>
      <c r="C257" s="256"/>
      <c r="D257" s="256"/>
      <c r="E257" s="256" t="s">
        <v>419</v>
      </c>
      <c r="F257" s="256"/>
      <c r="G257" s="256"/>
      <c r="H257" s="256"/>
    </row>
    <row r="258" spans="2:8">
      <c r="B258" s="256"/>
      <c r="C258" s="260">
        <f>I240</f>
        <v>8269.6981785576554</v>
      </c>
      <c r="D258" s="263">
        <f>E258-1</f>
        <v>12.525182954233825</v>
      </c>
      <c r="E258" s="263">
        <f>F258-1</f>
        <v>13.525182954233825</v>
      </c>
      <c r="F258" s="267">
        <f>O193</f>
        <v>14.525182954233825</v>
      </c>
      <c r="G258" s="263">
        <f>F258+1</f>
        <v>15.525182954233825</v>
      </c>
      <c r="H258" s="263">
        <f>G258+1</f>
        <v>16.525182954233827</v>
      </c>
    </row>
    <row r="259" spans="2:8">
      <c r="B259" s="256"/>
      <c r="C259" s="259">
        <f>C260+0.01</f>
        <v>0.1356710524301277</v>
      </c>
      <c r="D259" s="264">
        <f t="dataTable" ref="D259:H263" dt2D="1" dtr="1" r1="C208" r2="C210" ca="1"/>
        <v>8269.6981785576554</v>
      </c>
      <c r="E259" s="264">
        <v>6625.9559654198129</v>
      </c>
      <c r="F259" s="264">
        <v>7019.3067778347004</v>
      </c>
      <c r="G259" s="264">
        <v>7412.6575902495861</v>
      </c>
      <c r="H259" s="264">
        <v>7806.0084026644727</v>
      </c>
    </row>
    <row r="260" spans="2:8">
      <c r="B260" s="256"/>
      <c r="C260" s="259">
        <f>C261+0.01</f>
        <v>0.12567105243012769</v>
      </c>
      <c r="D260" s="264">
        <v>6761.2382144836447</v>
      </c>
      <c r="E260" s="264">
        <v>7188.9725131388659</v>
      </c>
      <c r="F260" s="264">
        <v>7616.7068117940871</v>
      </c>
      <c r="G260" s="264">
        <v>8044.4411104493083</v>
      </c>
      <c r="H260" s="264">
        <v>8472.1754091045277</v>
      </c>
    </row>
    <row r="261" spans="2:8">
      <c r="B261" s="257" t="s">
        <v>349</v>
      </c>
      <c r="C261" s="266">
        <f>'Beta &amp; WACC'!D51</f>
        <v>0.11567105243012768</v>
      </c>
      <c r="D261" s="264">
        <v>7338.7556875882656</v>
      </c>
      <c r="E261" s="264">
        <v>7804.2269330729605</v>
      </c>
      <c r="F261" s="264">
        <v>8269.6981785576554</v>
      </c>
      <c r="G261" s="264">
        <v>8735.1694240423494</v>
      </c>
      <c r="H261" s="264">
        <v>9200.6406695270416</v>
      </c>
    </row>
    <row r="262" spans="2:8">
      <c r="B262" s="256"/>
      <c r="C262" s="259">
        <f>C261-0.01</f>
        <v>0.10567105243012768</v>
      </c>
      <c r="D262" s="264">
        <v>7970.2844287445005</v>
      </c>
      <c r="E262" s="264">
        <v>8477.2077168569631</v>
      </c>
      <c r="F262" s="264">
        <v>8984.1310049694275</v>
      </c>
      <c r="G262" s="264">
        <v>9491.0542930818901</v>
      </c>
      <c r="H262" s="264">
        <v>9997.9775811943546</v>
      </c>
    </row>
    <row r="263" spans="2:8">
      <c r="C263" s="259">
        <f>C262-0.01</f>
        <v>9.567105243012769E-2</v>
      </c>
      <c r="D263" s="264">
        <v>8661.5477675645907</v>
      </c>
      <c r="E263" s="264">
        <v>9214.0426259062333</v>
      </c>
      <c r="F263" s="264">
        <v>9766.5374842478759</v>
      </c>
      <c r="G263" s="264">
        <v>10319.032342589519</v>
      </c>
      <c r="H263" s="264">
        <v>10871.527200931163</v>
      </c>
    </row>
  </sheetData>
  <dataValidations count="1">
    <dataValidation type="list" allowBlank="1" showInputMessage="1" showErrorMessage="1" sqref="D26">
      <formula1>"1,2,3"</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
  <sheetViews>
    <sheetView showGridLines="0" workbookViewId="0">
      <selection activeCell="K13" sqref="K13"/>
    </sheetView>
  </sheetViews>
  <sheetFormatPr defaultRowHeight="14.5"/>
  <cols>
    <col min="1" max="1" width="1.81640625" customWidth="1"/>
    <col min="2" max="2" width="5.1796875" bestFit="1" customWidth="1"/>
    <col min="3" max="3" width="17.08984375" bestFit="1" customWidth="1"/>
    <col min="4" max="4" width="7.54296875" bestFit="1" customWidth="1"/>
    <col min="5" max="5" width="15.7265625" bestFit="1" customWidth="1"/>
    <col min="6" max="7" width="10.08984375" bestFit="1" customWidth="1"/>
    <col min="8" max="8" width="10.26953125" bestFit="1" customWidth="1"/>
    <col min="9" max="9" width="10.7265625" bestFit="1" customWidth="1"/>
    <col min="10" max="10" width="12.1796875" bestFit="1" customWidth="1"/>
  </cols>
  <sheetData>
    <row r="1" spans="1:11" s="108" customFormat="1"/>
    <row r="2" spans="1:11">
      <c r="B2" s="130" t="s">
        <v>294</v>
      </c>
      <c r="C2" s="131" t="s">
        <v>295</v>
      </c>
      <c r="D2" s="131" t="s">
        <v>296</v>
      </c>
      <c r="E2" s="131" t="s">
        <v>297</v>
      </c>
      <c r="F2" s="131" t="s">
        <v>298</v>
      </c>
      <c r="G2" s="131" t="s">
        <v>299</v>
      </c>
      <c r="H2" s="131" t="s">
        <v>300</v>
      </c>
      <c r="I2" s="131" t="s">
        <v>150</v>
      </c>
      <c r="J2" s="132" t="s">
        <v>301</v>
      </c>
      <c r="K2" s="166" t="s">
        <v>333</v>
      </c>
    </row>
    <row r="3" spans="1:11">
      <c r="B3" s="122">
        <v>1</v>
      </c>
      <c r="C3" s="123" t="s">
        <v>302</v>
      </c>
      <c r="D3" s="124">
        <v>10675</v>
      </c>
      <c r="E3" s="124">
        <v>29.47</v>
      </c>
      <c r="F3" s="124">
        <v>23755.09</v>
      </c>
      <c r="G3" s="124">
        <v>1384.35</v>
      </c>
      <c r="H3" s="124">
        <v>88511.53</v>
      </c>
      <c r="I3" s="124">
        <v>17004.400000000001</v>
      </c>
      <c r="J3" s="125">
        <v>8188.35</v>
      </c>
      <c r="K3" s="153">
        <v>0.24640000000000001</v>
      </c>
    </row>
    <row r="4" spans="1:11">
      <c r="B4" s="122">
        <v>2</v>
      </c>
      <c r="C4" s="123" t="s">
        <v>303</v>
      </c>
      <c r="D4" s="124">
        <v>350</v>
      </c>
      <c r="E4" s="124">
        <v>248.48</v>
      </c>
      <c r="F4" s="124">
        <v>865.93</v>
      </c>
      <c r="G4" s="124">
        <v>958.6</v>
      </c>
      <c r="H4" s="124">
        <v>40655.68</v>
      </c>
      <c r="I4" s="124">
        <v>6576.88</v>
      </c>
      <c r="J4" s="125">
        <v>5637.08</v>
      </c>
      <c r="K4" s="153">
        <v>0.27050000000000002</v>
      </c>
    </row>
    <row r="5" spans="1:11">
      <c r="B5" s="122">
        <v>3</v>
      </c>
      <c r="C5" s="123" t="s">
        <v>304</v>
      </c>
      <c r="D5" s="124">
        <v>22145</v>
      </c>
      <c r="E5" s="124">
        <v>3.61</v>
      </c>
      <c r="F5" s="124">
        <v>1868.14</v>
      </c>
      <c r="G5" s="124">
        <v>341.79</v>
      </c>
      <c r="H5" s="124">
        <v>20943.47</v>
      </c>
      <c r="I5" s="124">
        <v>4637.8599999999997</v>
      </c>
      <c r="J5" s="125">
        <v>1748.66</v>
      </c>
      <c r="K5" s="153">
        <v>0.25919999999999999</v>
      </c>
    </row>
    <row r="6" spans="1:11">
      <c r="B6" s="122">
        <v>4</v>
      </c>
      <c r="C6" s="123" t="s">
        <v>305</v>
      </c>
      <c r="D6" s="124">
        <v>4851</v>
      </c>
      <c r="E6" s="124">
        <v>7.73</v>
      </c>
      <c r="F6" s="124">
        <v>6182.99</v>
      </c>
      <c r="G6" s="124">
        <v>469.11</v>
      </c>
      <c r="H6" s="124">
        <v>13722.3</v>
      </c>
      <c r="I6" s="124">
        <v>2378.71</v>
      </c>
      <c r="J6" s="125">
        <v>987.99</v>
      </c>
      <c r="K6" s="153">
        <v>0.33739999999999998</v>
      </c>
    </row>
    <row r="7" spans="1:11">
      <c r="B7" s="122">
        <v>5</v>
      </c>
      <c r="C7" s="123" t="s">
        <v>334</v>
      </c>
      <c r="D7" s="124">
        <v>1598.6</v>
      </c>
      <c r="E7" s="124">
        <v>18.760000000000002</v>
      </c>
      <c r="F7" s="124">
        <v>7406</v>
      </c>
      <c r="G7" s="124">
        <v>224</v>
      </c>
      <c r="H7" s="124">
        <v>14804</v>
      </c>
      <c r="I7" s="124">
        <v>3083</v>
      </c>
      <c r="J7" s="125">
        <v>1157</v>
      </c>
      <c r="K7" s="153">
        <v>0.23749999999999999</v>
      </c>
    </row>
    <row r="8" spans="1:11">
      <c r="B8" s="122">
        <v>6</v>
      </c>
      <c r="C8" s="123" t="s">
        <v>306</v>
      </c>
      <c r="D8" s="124">
        <v>1136</v>
      </c>
      <c r="E8" s="124">
        <v>18.78</v>
      </c>
      <c r="F8" s="124">
        <v>428.61</v>
      </c>
      <c r="G8" s="124">
        <v>557.73</v>
      </c>
      <c r="H8" s="124">
        <v>25961.85</v>
      </c>
      <c r="I8" s="124">
        <v>2957.97</v>
      </c>
      <c r="J8" s="125">
        <v>2137.23</v>
      </c>
      <c r="K8" s="153">
        <v>0.25769999999999998</v>
      </c>
    </row>
    <row r="9" spans="1:11">
      <c r="B9" s="126">
        <v>7</v>
      </c>
      <c r="C9" s="127" t="s">
        <v>307</v>
      </c>
      <c r="D9" s="128">
        <v>809.4</v>
      </c>
      <c r="E9" s="128">
        <v>23.63</v>
      </c>
      <c r="F9" s="128">
        <v>3871.1</v>
      </c>
      <c r="G9" s="128">
        <v>227.29</v>
      </c>
      <c r="H9" s="128">
        <v>9028.76</v>
      </c>
      <c r="I9" s="128">
        <v>1437.39</v>
      </c>
      <c r="J9" s="129">
        <v>698.79</v>
      </c>
      <c r="K9" s="153">
        <v>0.25080000000000002</v>
      </c>
    </row>
    <row r="11" spans="1:11">
      <c r="C11" s="114"/>
    </row>
    <row r="12" spans="1:11">
      <c r="A12" s="114"/>
      <c r="B12" s="114"/>
      <c r="C12" s="114"/>
      <c r="D12" s="114"/>
      <c r="E12" s="114"/>
      <c r="F12" s="114"/>
      <c r="G12" s="114"/>
      <c r="H12" s="114"/>
      <c r="I12" s="114"/>
      <c r="J12" s="114"/>
      <c r="K12" s="114"/>
    </row>
    <row r="13" spans="1:11">
      <c r="C13" s="116"/>
    </row>
    <row r="14" spans="1:11">
      <c r="C14" s="116"/>
    </row>
    <row r="15" spans="1:11">
      <c r="C15" s="116"/>
    </row>
    <row r="16" spans="1:11">
      <c r="C16" s="116"/>
    </row>
    <row r="17" spans="3:3">
      <c r="C17" s="116"/>
    </row>
    <row r="18" spans="3:3">
      <c r="C18" s="116"/>
    </row>
    <row r="19" spans="3:3">
      <c r="C19" s="116"/>
    </row>
    <row r="20" spans="3:3">
      <c r="C20" s="116"/>
    </row>
    <row r="21" spans="3:3">
      <c r="C21" s="114"/>
    </row>
    <row r="22" spans="3:3">
      <c r="C22" s="114"/>
    </row>
    <row r="23" spans="3:3">
      <c r="C23" s="114"/>
    </row>
    <row r="24" spans="3:3">
      <c r="C24" s="11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Q42"/>
  <sheetViews>
    <sheetView showGridLines="0" topLeftCell="A19" workbookViewId="0">
      <selection activeCell="B41" sqref="B41"/>
    </sheetView>
  </sheetViews>
  <sheetFormatPr defaultColWidth="12.6328125" defaultRowHeight="14.5"/>
  <cols>
    <col min="1" max="1" width="1.81640625" style="121" customWidth="1"/>
    <col min="2" max="2" width="40.6328125" style="121" customWidth="1"/>
    <col min="3" max="16384" width="12.6328125" style="121"/>
  </cols>
  <sheetData>
    <row r="2" spans="2:17" ht="31">
      <c r="B2" s="269" t="str">
        <f>Model!B2</f>
        <v>UltraTech Cement Ltd</v>
      </c>
      <c r="C2" s="268"/>
      <c r="D2" s="268"/>
      <c r="E2" s="268"/>
      <c r="F2" s="268"/>
      <c r="G2" s="268"/>
      <c r="H2" s="268"/>
      <c r="I2" s="268"/>
      <c r="J2" s="268"/>
      <c r="K2" s="268"/>
      <c r="L2" s="268"/>
      <c r="M2" s="268"/>
      <c r="N2" s="268"/>
      <c r="O2" s="268"/>
      <c r="P2" s="268"/>
      <c r="Q2" s="268"/>
    </row>
    <row r="3" spans="2:17" ht="21">
      <c r="B3" s="270" t="s">
        <v>420</v>
      </c>
      <c r="C3" s="271">
        <v>2022</v>
      </c>
      <c r="D3" s="271">
        <f>C3+1</f>
        <v>2023</v>
      </c>
      <c r="E3" s="271">
        <f t="shared" ref="E3:Q3" si="0">D3+1</f>
        <v>2024</v>
      </c>
      <c r="F3" s="271">
        <f t="shared" si="0"/>
        <v>2025</v>
      </c>
      <c r="G3" s="271">
        <f t="shared" si="0"/>
        <v>2026</v>
      </c>
      <c r="H3" s="272">
        <f t="shared" si="0"/>
        <v>2027</v>
      </c>
      <c r="I3" s="272">
        <f t="shared" si="0"/>
        <v>2028</v>
      </c>
      <c r="J3" s="272">
        <f t="shared" si="0"/>
        <v>2029</v>
      </c>
      <c r="K3" s="272">
        <f t="shared" si="0"/>
        <v>2030</v>
      </c>
      <c r="L3" s="272">
        <f t="shared" si="0"/>
        <v>2031</v>
      </c>
      <c r="M3" s="272">
        <f t="shared" si="0"/>
        <v>2032</v>
      </c>
      <c r="N3" s="272">
        <f t="shared" si="0"/>
        <v>2033</v>
      </c>
      <c r="O3" s="272">
        <f t="shared" si="0"/>
        <v>2034</v>
      </c>
      <c r="P3" s="272">
        <f t="shared" si="0"/>
        <v>2035</v>
      </c>
      <c r="Q3" s="272">
        <f t="shared" si="0"/>
        <v>2036</v>
      </c>
    </row>
    <row r="5" spans="2:17">
      <c r="B5" s="236" t="s">
        <v>421</v>
      </c>
    </row>
    <row r="6" spans="2:17">
      <c r="B6" s="20" t="s">
        <v>422</v>
      </c>
      <c r="C6" s="276">
        <f>Model!C9/Model!C7</f>
        <v>0.61781944579375625</v>
      </c>
      <c r="D6" s="276">
        <f>Model!D9/Model!D7</f>
        <v>0.55398025110064875</v>
      </c>
      <c r="E6" s="276">
        <f>Model!E9/Model!E7</f>
        <v>0.5742909065165156</v>
      </c>
      <c r="F6" s="276">
        <f>Model!F9/Model!F7</f>
        <v>0.5770808370678846</v>
      </c>
      <c r="G6" s="276">
        <f>Model!G9/Model!G7</f>
        <v>0.58439855236939187</v>
      </c>
      <c r="H6" s="276">
        <f>Model!H9/Model!H7</f>
        <v>0.58439855236939175</v>
      </c>
      <c r="I6" s="276">
        <f>Model!I9/Model!I7</f>
        <v>0.58439855236939187</v>
      </c>
      <c r="J6" s="276">
        <f>Model!J9/Model!J7</f>
        <v>0.58439855236939187</v>
      </c>
      <c r="K6" s="276">
        <f>Model!K9/Model!K7</f>
        <v>0.58439855236939187</v>
      </c>
      <c r="L6" s="276">
        <f>Model!L9/Model!L7</f>
        <v>0.58439855236939187</v>
      </c>
      <c r="M6" s="276">
        <f>Model!M9/Model!M7</f>
        <v>0.58439855236939187</v>
      </c>
      <c r="N6" s="276">
        <f>Model!N9/Model!N7</f>
        <v>0.58439855236939187</v>
      </c>
      <c r="O6" s="276">
        <f>Model!O9/Model!O7</f>
        <v>0.58439855236939187</v>
      </c>
      <c r="P6" s="276">
        <f>Model!P9/Model!P7</f>
        <v>0.58439855236939175</v>
      </c>
      <c r="Q6" s="276">
        <f>Model!Q9/Model!Q7</f>
        <v>0.58439855236939187</v>
      </c>
    </row>
    <row r="7" spans="2:17">
      <c r="B7" s="273" t="s">
        <v>423</v>
      </c>
      <c r="C7" s="277">
        <f>Model!C12/Model!C7</f>
        <v>0.21890886166099136</v>
      </c>
      <c r="D7" s="277">
        <f>Model!D12/Model!D7</f>
        <v>0.16792936999663824</v>
      </c>
      <c r="E7" s="277">
        <f>Model!E12/Model!E7</f>
        <v>0.18289240135194632</v>
      </c>
      <c r="F7" s="277">
        <f>Model!F12/Model!F7</f>
        <v>0.16532721357991229</v>
      </c>
      <c r="G7" s="277">
        <f>Model!G12/Model!G7</f>
        <v>0.19229393051956048</v>
      </c>
      <c r="H7" s="277">
        <f>Model!H12/Model!H7</f>
        <v>0.19138078307233053</v>
      </c>
      <c r="I7" s="277">
        <f>Model!I12/Model!I7</f>
        <v>0.19044990460670816</v>
      </c>
      <c r="J7" s="277">
        <f>Model!J12/Model!J7</f>
        <v>0.18950095083107354</v>
      </c>
      <c r="K7" s="277">
        <f>Model!K12/Model!K7</f>
        <v>0.18853357076853322</v>
      </c>
      <c r="L7" s="277">
        <f>Model!L12/Model!L7</f>
        <v>0.18754740662710878</v>
      </c>
      <c r="M7" s="277">
        <f>Model!M12/Model!M7</f>
        <v>0.18654209366740424</v>
      </c>
      <c r="N7" s="277">
        <f>Model!N12/Model!N7</f>
        <v>0.18551726006770544</v>
      </c>
      <c r="O7" s="277">
        <f>Model!O12/Model!O7</f>
        <v>0.18447252678645895</v>
      </c>
      <c r="P7" s="277">
        <f>Model!P12/Model!P7</f>
        <v>0.18340750742208148</v>
      </c>
      <c r="Q7" s="277">
        <f>Model!Q12/Model!Q7</f>
        <v>0.18232180807004641</v>
      </c>
    </row>
    <row r="8" spans="2:17">
      <c r="B8" s="273" t="s">
        <v>424</v>
      </c>
      <c r="C8" s="277">
        <f>Model!C14/Model!C7</f>
        <v>0.16729649689926568</v>
      </c>
      <c r="D8" s="277">
        <f>Model!D14/Model!D7</f>
        <v>0.12226221450417919</v>
      </c>
      <c r="E8" s="277">
        <f>Model!E14/Model!E7</f>
        <v>0.13853501163618168</v>
      </c>
      <c r="F8" s="277">
        <f>Model!F14/Model!F7</f>
        <v>0.11246771613714575</v>
      </c>
      <c r="G8" s="277">
        <f>Model!G14/Model!G7</f>
        <v>0.13982099281302665</v>
      </c>
      <c r="H8" s="277">
        <f>Model!H14/Model!H7</f>
        <v>0.13986245664535107</v>
      </c>
      <c r="I8" s="277">
        <f>Model!I14/Model!I7</f>
        <v>0.14235881697868091</v>
      </c>
      <c r="J8" s="277">
        <f>Model!J14/Model!J7</f>
        <v>0.14410575815104198</v>
      </c>
      <c r="K8" s="277">
        <f>Model!K14/Model!K7</f>
        <v>0.14599332200951312</v>
      </c>
      <c r="L8" s="277">
        <f>Model!L14/Model!L7</f>
        <v>0.14742918151662546</v>
      </c>
      <c r="M8" s="277">
        <f>Model!M14/Model!M7</f>
        <v>0.14866283483811443</v>
      </c>
      <c r="N8" s="277">
        <f>Model!N14/Model!N7</f>
        <v>0.14912408269988833</v>
      </c>
      <c r="O8" s="277">
        <f>Model!O14/Model!O7</f>
        <v>0.14950834386074244</v>
      </c>
      <c r="P8" s="277">
        <f>Model!P14/Model!P7</f>
        <v>0.14967109709462567</v>
      </c>
      <c r="Q8" s="277">
        <f>Model!Q14/Model!Q7</f>
        <v>0.14978781267320837</v>
      </c>
    </row>
    <row r="9" spans="2:17">
      <c r="B9" s="273" t="s">
        <v>425</v>
      </c>
      <c r="C9" s="277">
        <f>Model!C17/Model!C7</f>
        <v>0.15902254860041565</v>
      </c>
      <c r="D9" s="277">
        <f>Model!D17/Model!D7</f>
        <v>0.11727154246411844</v>
      </c>
      <c r="E9" s="277">
        <f>Model!E17/Model!E7</f>
        <v>0.13287924348318822</v>
      </c>
      <c r="F9" s="277">
        <f>Model!F17/Model!F7</f>
        <v>9.9112857814870475E-2</v>
      </c>
      <c r="G9" s="277">
        <f>Model!G17/Model!G7</f>
        <v>0.12345498942341177</v>
      </c>
      <c r="H9" s="277">
        <f>Model!H17/Model!H7</f>
        <v>0.12547111741560699</v>
      </c>
      <c r="I9" s="277">
        <f>Model!I17/Model!I7</f>
        <v>0.13018220515092194</v>
      </c>
      <c r="J9" s="277">
        <f>Model!J17/Model!J7</f>
        <v>0.13434992511599064</v>
      </c>
      <c r="K9" s="277">
        <f>Model!K17/Model!K7</f>
        <v>0.13903950136075421</v>
      </c>
      <c r="L9" s="277">
        <f>Model!L17/Model!L7</f>
        <v>0.14283538327077716</v>
      </c>
      <c r="M9" s="277">
        <f>Model!M17/Model!M7</f>
        <v>0.14607067870982823</v>
      </c>
      <c r="N9" s="277">
        <f>Model!N17/Model!N7</f>
        <v>0.14817150760326223</v>
      </c>
      <c r="O9" s="277">
        <f>Model!O17/Model!O7</f>
        <v>0.14977772336116196</v>
      </c>
      <c r="P9" s="277">
        <f>Model!P17/Model!P7</f>
        <v>0.15101420525277967</v>
      </c>
      <c r="Q9" s="277">
        <f>Model!Q17/Model!Q7</f>
        <v>0.15189455068042837</v>
      </c>
    </row>
    <row r="10" spans="2:17">
      <c r="B10" s="273" t="s">
        <v>426</v>
      </c>
      <c r="C10" s="277">
        <f>-Model!C18/Model!C17</f>
        <v>0.14227679211898042</v>
      </c>
      <c r="D10" s="277">
        <f>-Model!D18/Model!D17</f>
        <v>0.31590763526040777</v>
      </c>
      <c r="E10" s="277">
        <f>-Model!E18/Model!E17</f>
        <v>0.25665501336203156</v>
      </c>
      <c r="F10" s="277">
        <f>-Model!F18/Model!F17</f>
        <v>0.19772373750187619</v>
      </c>
      <c r="G10" s="277">
        <f>-Model!G18/Model!G17</f>
        <v>0.25064449323202048</v>
      </c>
      <c r="H10" s="277">
        <f>-Model!H18/Model!H17</f>
        <v>0.25064449323202048</v>
      </c>
      <c r="I10" s="277">
        <f>-Model!I18/Model!I17</f>
        <v>0.25064449323202048</v>
      </c>
      <c r="J10" s="277">
        <f>-Model!J18/Model!J17</f>
        <v>0.25064449323202048</v>
      </c>
      <c r="K10" s="277">
        <f>-Model!K18/Model!K17</f>
        <v>0.25064449323202048</v>
      </c>
      <c r="L10" s="277">
        <f>-Model!L18/Model!L17</f>
        <v>0.25064449323202048</v>
      </c>
      <c r="M10" s="277">
        <f>-Model!M18/Model!M17</f>
        <v>0.25064449323202048</v>
      </c>
      <c r="N10" s="277">
        <f>-Model!N18/Model!N17</f>
        <v>0.25064449323202048</v>
      </c>
      <c r="O10" s="277">
        <f>-Model!O18/Model!O17</f>
        <v>0.25064449323202048</v>
      </c>
      <c r="P10" s="277">
        <f>-Model!P18/Model!P17</f>
        <v>0.25064449323202048</v>
      </c>
      <c r="Q10" s="277">
        <f>-Model!Q18/Model!Q17</f>
        <v>0.25064449323202048</v>
      </c>
    </row>
    <row r="11" spans="2:17">
      <c r="B11" s="273" t="s">
        <v>427</v>
      </c>
      <c r="C11" s="277">
        <f>Model!C14*(1-Model!C34)/(Model!C72+Model!C64-Model!C45-Model!C46)</f>
        <v>0.12297571759509177</v>
      </c>
      <c r="D11" s="277">
        <f>Model!D14*(1-Model!D34)/(Model!D72+Model!D64-Model!D45-Model!D46)</f>
        <v>8.2346020246629334E-2</v>
      </c>
      <c r="E11" s="277">
        <f>Model!E14*(1-Model!E34)/(Model!E72+Model!E64-Model!E45-Model!E46)</f>
        <v>0.10306787061115448</v>
      </c>
      <c r="F11" s="277">
        <f>Model!F14*(1-Model!F34)/(Model!F72+Model!F64-Model!F45-Model!F46)</f>
        <v>7.3586082797706884E-2</v>
      </c>
      <c r="G11" s="277">
        <f>Model!G14*(1-Model!G34)/(Model!G72+Model!G64-Model!G45-Model!G46)</f>
        <v>9.3680679328077873E-2</v>
      </c>
      <c r="H11" s="277">
        <f>Model!H14*(1-Model!H34)/(Model!H72+Model!H64-Model!H45-Model!H46)</f>
        <v>9.6854345740831849E-2</v>
      </c>
      <c r="I11" s="277">
        <f>Model!I14*(1-Model!I34)/(Model!I72+Model!I64-Model!I45-Model!I46)</f>
        <v>0.10550111557416232</v>
      </c>
      <c r="J11" s="277">
        <f>Model!J14*(1-Model!J34)/(Model!J72+Model!J64-Model!J45-Model!J46)</f>
        <v>0.11501970893303344</v>
      </c>
      <c r="K11" s="277">
        <f>Model!K14*(1-Model!K34)/(Model!K72+Model!K64-Model!K45-Model!K46)</f>
        <v>0.12380648983013288</v>
      </c>
      <c r="L11" s="277">
        <f>Model!L14*(1-Model!L34)/(Model!L72+Model!L64-Model!L45-Model!L46)</f>
        <v>0.13253919469746567</v>
      </c>
      <c r="M11" s="277">
        <f>Model!M14*(1-Model!M34)/(Model!M72+Model!M64-Model!M45-Model!M46)</f>
        <v>0.14089780572766719</v>
      </c>
      <c r="N11" s="277">
        <f>Model!N14*(1-Model!N34)/(Model!N72+Model!N64-Model!N45-Model!N46)</f>
        <v>0.14725243989307876</v>
      </c>
      <c r="O11" s="277">
        <f>Model!O14*(1-Model!O34)/(Model!O72+Model!O64-Model!O45-Model!O46)</f>
        <v>0.15314967226937651</v>
      </c>
      <c r="P11" s="277">
        <f>Model!P14*(1-Model!P34)/(Model!P72+Model!P64-Model!P45-Model!P46)</f>
        <v>0.15904496928884795</v>
      </c>
      <c r="Q11" s="277">
        <f>Model!Q14*(1-Model!Q34)/(Model!Q72+Model!Q64-Model!Q45-Model!Q46)</f>
        <v>0.16448677971588482</v>
      </c>
    </row>
    <row r="12" spans="2:17">
      <c r="B12" s="19" t="s">
        <v>428</v>
      </c>
      <c r="C12" s="278">
        <f>Model!C19/Model!C7</f>
        <v>0.13639733051096387</v>
      </c>
      <c r="D12" s="278">
        <f>Model!D19/Model!D7</f>
        <v>8.0224566800938285E-2</v>
      </c>
      <c r="E12" s="278">
        <f>Model!E19/Model!E7</f>
        <v>9.8775119471473896E-2</v>
      </c>
      <c r="F12" s="278">
        <f>Model!F19/Model!F7</f>
        <v>7.9515893133222257E-2</v>
      </c>
      <c r="G12" s="278">
        <f>Model!G19/Model!G7</f>
        <v>9.2511676162416276E-2</v>
      </c>
      <c r="H12" s="278">
        <f>Model!H19/Model!H7</f>
        <v>9.4022472775716834E-2</v>
      </c>
      <c r="I12" s="278">
        <f>Model!I19/Model!I7</f>
        <v>9.7552752313042182E-2</v>
      </c>
      <c r="J12" s="278">
        <f>Model!J19/Model!J7</f>
        <v>0.10067585621953327</v>
      </c>
      <c r="K12" s="278">
        <f>Model!K19/Model!K7</f>
        <v>0.10419001600295515</v>
      </c>
      <c r="L12" s="278">
        <f>Model!L19/Model!L7</f>
        <v>0.10703448101527181</v>
      </c>
      <c r="M12" s="278">
        <f>Model!M19/Model!M7</f>
        <v>0.10945886746854608</v>
      </c>
      <c r="N12" s="278">
        <f>Model!N19/Model!N7</f>
        <v>0.11103313516861808</v>
      </c>
      <c r="O12" s="278">
        <f>Model!O19/Model!O7</f>
        <v>0.11223676179185776</v>
      </c>
      <c r="P12" s="278">
        <f>Model!P19/Model!P7</f>
        <v>0.11316332630636039</v>
      </c>
      <c r="Q12" s="278">
        <f>Model!Q19/Model!Q7</f>
        <v>0.11382301800042695</v>
      </c>
    </row>
    <row r="13" spans="2:17">
      <c r="B13" s="256"/>
      <c r="C13" s="279"/>
      <c r="D13" s="279"/>
      <c r="E13" s="279"/>
      <c r="F13" s="279"/>
      <c r="G13" s="279"/>
      <c r="H13" s="279"/>
      <c r="I13" s="279"/>
      <c r="J13" s="279"/>
      <c r="K13" s="279"/>
      <c r="L13" s="279"/>
      <c r="M13" s="279"/>
      <c r="N13" s="279"/>
      <c r="O13" s="279"/>
      <c r="P13" s="279"/>
      <c r="Q13" s="279"/>
    </row>
    <row r="14" spans="2:17">
      <c r="B14" s="236" t="s">
        <v>429</v>
      </c>
      <c r="C14" s="279"/>
      <c r="D14" s="279"/>
      <c r="E14" s="279"/>
      <c r="F14" s="279"/>
      <c r="G14" s="279"/>
      <c r="H14" s="279"/>
      <c r="I14" s="279"/>
      <c r="J14" s="279"/>
      <c r="K14" s="279"/>
      <c r="L14" s="279"/>
      <c r="M14" s="279"/>
      <c r="N14" s="279"/>
      <c r="O14" s="279"/>
      <c r="P14" s="279"/>
      <c r="Q14" s="279"/>
    </row>
    <row r="15" spans="2:17">
      <c r="B15" s="20" t="s">
        <v>430</v>
      </c>
      <c r="C15" s="280"/>
      <c r="D15" s="281">
        <f>Model!D7/AVERAGE(Model!C57:D57)</f>
        <v>0.72185680714665867</v>
      </c>
      <c r="E15" s="281">
        <f>Model!E7/AVERAGE(Model!D57:E57)</f>
        <v>0.73790020311779614</v>
      </c>
      <c r="F15" s="281">
        <f>Model!F7/AVERAGE(Model!E57:F57)</f>
        <v>0.64780726719873971</v>
      </c>
      <c r="G15" s="281">
        <f>Model!G7/AVERAGE(Model!F57:G57)</f>
        <v>0.6435489171609593</v>
      </c>
      <c r="H15" s="281">
        <f>Model!H7/AVERAGE(Model!G57:H57)</f>
        <v>0.66833169817641491</v>
      </c>
      <c r="I15" s="281">
        <f>Model!I7/AVERAGE(Model!H57:I57)</f>
        <v>0.71774337751958062</v>
      </c>
      <c r="J15" s="281">
        <f>Model!J7/AVERAGE(Model!I57:J57)</f>
        <v>0.76224344696963753</v>
      </c>
      <c r="K15" s="281">
        <f>Model!K7/AVERAGE(Model!J57:K57)</f>
        <v>0.79840015880979576</v>
      </c>
      <c r="L15" s="281">
        <f>Model!L7/AVERAGE(Model!K57:L57)</f>
        <v>0.82833859529187104</v>
      </c>
      <c r="M15" s="281">
        <f>Model!M7/AVERAGE(Model!L57:M57)</f>
        <v>0.85189610537769889</v>
      </c>
      <c r="N15" s="281">
        <f>Model!N7/AVERAGE(Model!M57:N57)</f>
        <v>0.85912665746986894</v>
      </c>
      <c r="O15" s="281">
        <f>Model!O7/AVERAGE(Model!N57:O57)</f>
        <v>0.86144026284515673</v>
      </c>
      <c r="P15" s="281">
        <f>Model!P7/AVERAGE(Model!O57:P57)</f>
        <v>0.85930768201029917</v>
      </c>
      <c r="Q15" s="281">
        <f>Model!Q7/AVERAGE(Model!P57:Q57)</f>
        <v>0.85355885137218312</v>
      </c>
    </row>
    <row r="16" spans="2:17">
      <c r="B16" s="273" t="s">
        <v>431</v>
      </c>
      <c r="C16" s="277"/>
      <c r="D16" s="277">
        <f>Model!D17/AVERAGE(Model!C57:D57)</f>
        <v>8.4653261212312342E-2</v>
      </c>
      <c r="E16" s="277">
        <f>Model!E17/AVERAGE(Model!D57:E57)</f>
        <v>9.805162075638367E-2</v>
      </c>
      <c r="F16" s="277">
        <f>Model!F17/AVERAGE(Model!E57:F57)</f>
        <v>6.4206029565308506E-2</v>
      </c>
      <c r="G16" s="277">
        <f>Model!G17/AVERAGE(Model!F57:G57)</f>
        <v>7.9449324761554321E-2</v>
      </c>
      <c r="H16" s="277">
        <f>Model!H17/AVERAGE(Model!G57:H57)</f>
        <v>8.3856324974464963E-2</v>
      </c>
      <c r="I16" s="277">
        <f>Model!I17/AVERAGE(Model!H57:I57)</f>
        <v>9.3437415617969657E-2</v>
      </c>
      <c r="J16" s="277">
        <f>Model!J17/AVERAGE(Model!I57:J57)</f>
        <v>0.1024073500205254</v>
      </c>
      <c r="K16" s="277">
        <f>Model!K17/AVERAGE(Model!J57:K57)</f>
        <v>0.11100915996726096</v>
      </c>
      <c r="L16" s="277">
        <f>Model!L17/AVERAGE(Model!K57:L57)</f>
        <v>0.11831606073649158</v>
      </c>
      <c r="M16" s="277">
        <f>Model!M17/AVERAGE(Model!L57:M57)</f>
        <v>0.12443704230277984</v>
      </c>
      <c r="N16" s="277">
        <f>Model!N17/AVERAGE(Model!M57:N57)</f>
        <v>0.12729809205946194</v>
      </c>
      <c r="O16" s="277">
        <f>Model!O17/AVERAGE(Model!N57:O57)</f>
        <v>0.12902456138058854</v>
      </c>
      <c r="P16" s="277">
        <f>Model!P17/AVERAGE(Model!O57:P57)</f>
        <v>0.12976766666639364</v>
      </c>
      <c r="Q16" s="277">
        <f>Model!Q17/AVERAGE(Model!P57:Q57)</f>
        <v>0.12965093820848028</v>
      </c>
    </row>
    <row r="17" spans="2:17">
      <c r="B17" s="273" t="s">
        <v>432</v>
      </c>
      <c r="C17" s="277"/>
      <c r="D17" s="277">
        <f>Model!D17/AVERAGE(Model!C72:D72)</f>
        <v>0.14158578561759519</v>
      </c>
      <c r="E17" s="277">
        <f>Model!E17/AVERAGE(Model!D72:E72)</f>
        <v>0.16450553770291759</v>
      </c>
      <c r="F17" s="277">
        <f>Model!F17/AVERAGE(Model!E72:F72)</f>
        <v>0.11499149798585061</v>
      </c>
      <c r="G17" s="277">
        <f>Model!G17/AVERAGE(Model!F72:G72)</f>
        <v>0.14833650365930837</v>
      </c>
      <c r="H17" s="277">
        <f>Model!H17/AVERAGE(Model!G72:H72)</f>
        <v>0.15219422471463129</v>
      </c>
      <c r="I17" s="277">
        <f>Model!I17/AVERAGE(Model!H72:I72)</f>
        <v>0.16391646580962058</v>
      </c>
      <c r="J17" s="277">
        <f>Model!J17/AVERAGE(Model!I72:J72)</f>
        <v>0.17260362167900226</v>
      </c>
      <c r="K17" s="277">
        <f>Model!K17/AVERAGE(Model!J72:K72)</f>
        <v>0.17912301130310002</v>
      </c>
      <c r="L17" s="277">
        <f>Model!L17/AVERAGE(Model!K72:L72)</f>
        <v>0.18309931280324337</v>
      </c>
      <c r="M17" s="277">
        <f>Model!M17/AVERAGE(Model!L72:M72)</f>
        <v>0.1852027291266532</v>
      </c>
      <c r="N17" s="277">
        <f>Model!N17/AVERAGE(Model!M72:N72)</f>
        <v>0.18290648893857947</v>
      </c>
      <c r="O17" s="277">
        <f>Model!O17/AVERAGE(Model!N72:O72)</f>
        <v>0.17966974452696</v>
      </c>
      <c r="P17" s="277">
        <f>Model!P17/AVERAGE(Model!O72:P72)</f>
        <v>0.17583678652152407</v>
      </c>
      <c r="Q17" s="277">
        <f>Model!Q17/AVERAGE(Model!P72:Q72)</f>
        <v>0.17156846409354953</v>
      </c>
    </row>
    <row r="18" spans="2:17">
      <c r="B18" s="273" t="s">
        <v>433</v>
      </c>
      <c r="C18" s="277">
        <f>Model!C19/Model!C17</f>
        <v>0.85772320788101963</v>
      </c>
      <c r="D18" s="277">
        <f>Model!D19/Model!D17</f>
        <v>0.68409236473959212</v>
      </c>
      <c r="E18" s="277">
        <f>Model!E19/Model!E17</f>
        <v>0.74334498663796844</v>
      </c>
      <c r="F18" s="277">
        <f>Model!F19/Model!F17</f>
        <v>0.80227626249812378</v>
      </c>
      <c r="G18" s="277">
        <f>Model!G19/Model!G17</f>
        <v>0.74935550676797957</v>
      </c>
      <c r="H18" s="277">
        <f>Model!H19/Model!H17</f>
        <v>0.74935550676797946</v>
      </c>
      <c r="I18" s="277">
        <f>Model!I19/Model!I17</f>
        <v>0.74935550676797946</v>
      </c>
      <c r="J18" s="277">
        <f>Model!J19/Model!J17</f>
        <v>0.74935550676797957</v>
      </c>
      <c r="K18" s="277">
        <f>Model!K19/Model!K17</f>
        <v>0.74935550676797957</v>
      </c>
      <c r="L18" s="277">
        <f>Model!L19/Model!L17</f>
        <v>0.74935550676797946</v>
      </c>
      <c r="M18" s="277">
        <f>Model!M19/Model!M17</f>
        <v>0.74935550676797957</v>
      </c>
      <c r="N18" s="277">
        <f>Model!N19/Model!N17</f>
        <v>0.74935550676797946</v>
      </c>
      <c r="O18" s="277">
        <f>Model!O19/Model!O17</f>
        <v>0.74935550676797957</v>
      </c>
      <c r="P18" s="277">
        <f>Model!P19/Model!P17</f>
        <v>0.74935550676797957</v>
      </c>
      <c r="Q18" s="277">
        <f>Model!Q19/Model!Q17</f>
        <v>0.74935550676797957</v>
      </c>
    </row>
    <row r="19" spans="2:17">
      <c r="B19" s="273" t="s">
        <v>434</v>
      </c>
      <c r="C19" s="277"/>
      <c r="D19" s="277">
        <f>Model!D19/AVERAGE(Model!C72:D72)</f>
        <v>9.6857754896653617E-2</v>
      </c>
      <c r="E19" s="277">
        <f>Model!E19/AVERAGE(Model!D72:E72)</f>
        <v>0.1222843667256471</v>
      </c>
      <c r="F19" s="277">
        <f>Model!F19/AVERAGE(Model!E72:F72)</f>
        <v>9.2254949223148766E-2</v>
      </c>
      <c r="G19" s="277">
        <f>Model!G19/AVERAGE(Model!F72:G72)</f>
        <v>0.11115677587181126</v>
      </c>
      <c r="H19" s="277">
        <f>Model!H19/AVERAGE(Model!G72:H72)</f>
        <v>0.11404758038819227</v>
      </c>
      <c r="I19" s="277">
        <f>Model!I19/AVERAGE(Model!H72:I72)</f>
        <v>0.12283170630438441</v>
      </c>
      <c r="J19" s="277">
        <f>Model!J19/AVERAGE(Model!I72:J72)</f>
        <v>0.12934147439325736</v>
      </c>
      <c r="K19" s="277">
        <f>Model!K19/AVERAGE(Model!J72:K72)</f>
        <v>0.13422681490884103</v>
      </c>
      <c r="L19" s="277">
        <f>Model!L19/AVERAGE(Model!K72:L72)</f>
        <v>0.13720647833454325</v>
      </c>
      <c r="M19" s="277">
        <f>Model!M19/AVERAGE(Model!L72:M72)</f>
        <v>0.13878268493951607</v>
      </c>
      <c r="N19" s="277">
        <f>Model!N19/AVERAGE(Model!M72:N72)</f>
        <v>0.13706198470972106</v>
      </c>
      <c r="O19" s="277">
        <f>Model!O19/AVERAGE(Model!N72:O72)</f>
        <v>0.13463651246087352</v>
      </c>
      <c r="P19" s="277">
        <f>Model!P19/AVERAGE(Model!O72:P72)</f>
        <v>0.13176426427228971</v>
      </c>
      <c r="Q19" s="277">
        <f>Model!Q19/AVERAGE(Model!P72:Q72)</f>
        <v>0.12856577335622571</v>
      </c>
    </row>
    <row r="20" spans="2:17">
      <c r="B20" s="19" t="s">
        <v>435</v>
      </c>
      <c r="C20" s="278"/>
      <c r="D20" s="278">
        <f>(Model!D118+Model!D120-Model!D114)/(Model!D14*(1-Model!D34))</f>
        <v>0.68989575004515058</v>
      </c>
      <c r="E20" s="278">
        <f>(Model!E118+Model!E120-Model!E114)/(Model!E14*(1-Model!E34))</f>
        <v>0.86843033109666523</v>
      </c>
      <c r="F20" s="278">
        <f>(Model!F118+Model!F120-Model!F114)/(Model!F14*(1-Model!F34))</f>
        <v>0.84416669621004503</v>
      </c>
      <c r="G20" s="278">
        <f>(Model!G118+Model!G120-Model!G114)/(Model!G14*(1-Model!G34))</f>
        <v>0.56788488114047575</v>
      </c>
      <c r="H20" s="278">
        <f>(Model!H118+Model!H120-Model!H114)/(Model!H14*(1-Model!H34))</f>
        <v>0.58169048252249445</v>
      </c>
      <c r="I20" s="278">
        <f>(Model!I118+Model!I120-Model!I114)/(Model!I14*(1-Model!I34))</f>
        <v>0.50918062597535274</v>
      </c>
      <c r="J20" s="278">
        <f>(Model!J118+Model!J120-Model!J114)/(Model!J14*(1-Model!J34))</f>
        <v>0.317073967420541</v>
      </c>
      <c r="K20" s="278">
        <f>(Model!K118+Model!K120-Model!K114)/(Model!K14*(1-Model!K34))</f>
        <v>0.29718228399944668</v>
      </c>
      <c r="L20" s="278">
        <f>(Model!L118+Model!L120-Model!L114)/(Model!L14*(1-Model!L34))</f>
        <v>0.2581154807829969</v>
      </c>
      <c r="M20" s="278">
        <f>(Model!M118+Model!M120-Model!M114)/(Model!M14*(1-Model!M34))</f>
        <v>0.25102108650867383</v>
      </c>
      <c r="N20" s="278">
        <f>(Model!N118+Model!N120-Model!N114)/(Model!N14*(1-Model!N34))</f>
        <v>0.21351892103304734</v>
      </c>
      <c r="O20" s="278">
        <f>(Model!O118+Model!O120-Model!O114)/(Model!O14*(1-Model!O34))</f>
        <v>0.21133153577331779</v>
      </c>
      <c r="P20" s="278">
        <f>(Model!P118+Model!P120-Model!P114)/(Model!P14*(1-Model!P34))</f>
        <v>0.18499070375150789</v>
      </c>
      <c r="Q20" s="278">
        <f>(Model!Q118+Model!Q120-Model!Q114)/(Model!Q14*(1-Model!Q34))</f>
        <v>0.18502736277984444</v>
      </c>
    </row>
    <row r="21" spans="2:17">
      <c r="B21" s="256"/>
      <c r="C21" s="279"/>
      <c r="D21" s="279"/>
      <c r="E21" s="279"/>
      <c r="F21" s="279"/>
      <c r="G21" s="279"/>
      <c r="H21" s="279"/>
      <c r="I21" s="279"/>
      <c r="J21" s="279"/>
      <c r="K21" s="279"/>
      <c r="L21" s="279"/>
      <c r="M21" s="279"/>
      <c r="N21" s="279"/>
      <c r="O21" s="279"/>
      <c r="P21" s="279"/>
      <c r="Q21" s="279"/>
    </row>
    <row r="22" spans="2:17">
      <c r="B22" s="236" t="s">
        <v>436</v>
      </c>
      <c r="C22" s="279"/>
      <c r="D22" s="279"/>
      <c r="E22" s="279"/>
      <c r="F22" s="279"/>
      <c r="G22" s="279"/>
      <c r="H22" s="279"/>
      <c r="I22" s="279"/>
      <c r="J22" s="279"/>
      <c r="K22" s="279"/>
      <c r="L22" s="279"/>
      <c r="M22" s="279"/>
      <c r="N22" s="279"/>
      <c r="O22" s="279"/>
      <c r="P22" s="279"/>
      <c r="Q22" s="279"/>
    </row>
    <row r="23" spans="2:17">
      <c r="B23" s="20" t="s">
        <v>437</v>
      </c>
      <c r="C23" s="281">
        <f>SUM(Model!C45:C49)/SUM(Model!C60:C61)</f>
        <v>0.7027340547603681</v>
      </c>
      <c r="D23" s="281">
        <f>SUM(Model!D45:D49)/SUM(Model!D60:D61)</f>
        <v>0.71749858999813787</v>
      </c>
      <c r="E23" s="281">
        <f>SUM(Model!E45:E49)/SUM(Model!E60:E61)</f>
        <v>0.70516298976228453</v>
      </c>
      <c r="F23" s="281">
        <f>SUM(Model!F45:F49)/SUM(Model!F60:F61)</f>
        <v>0.77769504133989675</v>
      </c>
      <c r="G23" s="281">
        <f>SUM(Model!G45:G49)/SUM(Model!G60:G61)</f>
        <v>0.76420185591061307</v>
      </c>
      <c r="H23" s="281">
        <f>SUM(Model!H45:H49)/SUM(Model!H60:H61)</f>
        <v>0.83210487936162292</v>
      </c>
      <c r="I23" s="281">
        <f>SUM(Model!I45:I49)/SUM(Model!I60:I61)</f>
        <v>0.89596522034630088</v>
      </c>
      <c r="J23" s="281">
        <f>SUM(Model!J45:J49)/SUM(Model!J60:J61)</f>
        <v>1.006622617725192</v>
      </c>
      <c r="K23" s="281">
        <f>SUM(Model!K45:K49)/SUM(Model!K60:K61)</f>
        <v>1.1394232415408125</v>
      </c>
      <c r="L23" s="281">
        <f>SUM(Model!L45:L49)/SUM(Model!L60:L61)</f>
        <v>1.307016181189135</v>
      </c>
      <c r="M23" s="281">
        <f>SUM(Model!M45:M49)/SUM(Model!M60:M61)</f>
        <v>1.4909269284889313</v>
      </c>
      <c r="N23" s="281">
        <f>SUM(Model!N45:N49)/SUM(Model!N60:N61)</f>
        <v>1.7170844318722394</v>
      </c>
      <c r="O23" s="281">
        <f>SUM(Model!O45:O49)/SUM(Model!O60:O61)</f>
        <v>1.9506989203830036</v>
      </c>
      <c r="P23" s="281">
        <f>SUM(Model!P45:P49)/SUM(Model!P60:P61)</f>
        <v>2.2179101797383933</v>
      </c>
      <c r="Q23" s="281">
        <f>SUM(Model!Q45:Q49)/SUM(Model!Q60:Q61)</f>
        <v>2.487710083199151</v>
      </c>
    </row>
    <row r="24" spans="2:17">
      <c r="B24" s="273" t="s">
        <v>438</v>
      </c>
      <c r="C24" s="285">
        <f>SUM(Model!C45:C47)/SUM(Model!C60:C61)</f>
        <v>0.22664043615925655</v>
      </c>
      <c r="D24" s="285">
        <f>SUM(Model!D45:D47)/SUM(Model!D60:D61)</f>
        <v>0.26767944908279179</v>
      </c>
      <c r="E24" s="285">
        <f>SUM(Model!E45:E47)/SUM(Model!E60:E61)</f>
        <v>0.23267564324756698</v>
      </c>
      <c r="F24" s="285">
        <f>SUM(Model!F45:F47)/SUM(Model!F60:F61)</f>
        <v>0.30361431564276647</v>
      </c>
      <c r="G24" s="285">
        <f>SUM(Model!G45:G47)/SUM(Model!G60:G61)</f>
        <v>0.28680531509276652</v>
      </c>
      <c r="H24" s="285">
        <f>SUM(Model!H45:H47)/SUM(Model!H60:H61)</f>
        <v>0.32261903967566469</v>
      </c>
      <c r="I24" s="285">
        <f>SUM(Model!I45:I47)/SUM(Model!I60:I61)</f>
        <v>0.36609469374369397</v>
      </c>
      <c r="J24" s="285">
        <f>SUM(Model!J45:J47)/SUM(Model!J60:J61)</f>
        <v>0.45190579446162343</v>
      </c>
      <c r="K24" s="285">
        <f>SUM(Model!K45:K47)/SUM(Model!K60:K61)</f>
        <v>0.56580975018672575</v>
      </c>
      <c r="L24" s="285">
        <f>SUM(Model!L45:L47)/SUM(Model!L60:L61)</f>
        <v>0.71374317160149858</v>
      </c>
      <c r="M24" s="285">
        <f>SUM(Model!M45:M47)/SUM(Model!M60:M61)</f>
        <v>0.87983987348403447</v>
      </c>
      <c r="N24" s="285">
        <f>SUM(Model!N45:N47)/SUM(Model!N60:N61)</f>
        <v>1.091066784317249</v>
      </c>
      <c r="O24" s="285">
        <f>SUM(Model!O45:O47)/SUM(Model!O60:O61)</f>
        <v>1.3107838330659565</v>
      </c>
      <c r="P24" s="285">
        <f>SUM(Model!P45:P47)/SUM(Model!P60:P61)</f>
        <v>1.564728710958204</v>
      </c>
      <c r="Q24" s="285">
        <f>SUM(Model!Q45:Q47)/SUM(Model!Q60:Q61)</f>
        <v>1.8220252931949417</v>
      </c>
    </row>
    <row r="25" spans="2:17">
      <c r="B25" s="273" t="s">
        <v>439</v>
      </c>
      <c r="C25" s="285">
        <f>SUM(Model!C45:C46)/SUM(Model!C60:C61)</f>
        <v>2.3727687168168782E-2</v>
      </c>
      <c r="D25" s="285">
        <f>SUM(Model!D45:D46)/SUM(Model!D60:D61)</f>
        <v>6.1340550266232904E-2</v>
      </c>
      <c r="E25" s="285">
        <f>SUM(Model!E45:E46)/SUM(Model!E60:E61)</f>
        <v>3.6004854525143772E-2</v>
      </c>
      <c r="F25" s="285">
        <f>SUM(Model!F45:F46)/SUM(Model!F60:F61)</f>
        <v>6.7169855855284483E-2</v>
      </c>
      <c r="G25" s="285">
        <f>SUM(Model!G45:G46)/SUM(Model!G60:G61)</f>
        <v>5.3559096457443077E-2</v>
      </c>
      <c r="H25" s="285">
        <f>SUM(Model!H45:H46)/SUM(Model!H60:H61)</f>
        <v>7.7531169137345174E-2</v>
      </c>
      <c r="I25" s="285">
        <f>SUM(Model!I45:I46)/SUM(Model!I60:I61)</f>
        <v>0.10155159746583067</v>
      </c>
      <c r="J25" s="285">
        <f>SUM(Model!J45:J46)/SUM(Model!J60:J61)</f>
        <v>0.17169319540475853</v>
      </c>
      <c r="K25" s="285">
        <f>SUM(Model!K45:K46)/SUM(Model!K60:K61)</f>
        <v>0.27051276394296841</v>
      </c>
      <c r="L25" s="285">
        <f>SUM(Model!L45:L46)/SUM(Model!L60:L61)</f>
        <v>0.40478694806202409</v>
      </c>
      <c r="M25" s="285">
        <f>SUM(Model!M45:M46)/SUM(Model!M60:M61)</f>
        <v>0.55753127138650493</v>
      </c>
      <c r="N25" s="285">
        <f>SUM(Model!N45:N46)/SUM(Model!N60:N61)</f>
        <v>0.75805159524909782</v>
      </c>
      <c r="O25" s="285">
        <f>SUM(Model!O45:O46)/SUM(Model!O60:O61)</f>
        <v>0.96753452508800464</v>
      </c>
      <c r="P25" s="285">
        <f>SUM(Model!P45:P46)/SUM(Model!P60:P61)</f>
        <v>1.2118506966155174</v>
      </c>
      <c r="Q25" s="285">
        <f>SUM(Model!Q45:Q46)/SUM(Model!Q60:Q61)</f>
        <v>1.4600006111018677</v>
      </c>
    </row>
    <row r="26" spans="2:17">
      <c r="B26" s="19" t="s">
        <v>440</v>
      </c>
      <c r="C26" s="286"/>
      <c r="D26" s="287">
        <f>Model!D36+Model!D37-Model!D38</f>
        <v>14.428822123326967</v>
      </c>
      <c r="E26" s="287">
        <f>Model!E36+Model!E37-Model!E38</f>
        <v>16.453146795225734</v>
      </c>
      <c r="F26" s="287">
        <f>Model!F36+Model!F37-Model!F38</f>
        <v>24.925750549545256</v>
      </c>
      <c r="G26" s="287">
        <f>Model!G36+Model!G37-Model!G38</f>
        <v>23.05278862202934</v>
      </c>
      <c r="H26" s="287">
        <f>Model!H36+Model!H37-Model!H38</f>
        <v>23.989269585787298</v>
      </c>
      <c r="I26" s="287">
        <f>Model!I36+Model!I37-Model!I38</f>
        <v>23.521029103908305</v>
      </c>
      <c r="J26" s="287">
        <f>Model!J36+Model!J37-Model!J38</f>
        <v>23.755149344847794</v>
      </c>
      <c r="K26" s="287">
        <f>Model!K36+Model!K37-Model!K38</f>
        <v>23.638089224378049</v>
      </c>
      <c r="L26" s="287">
        <f>Model!L36+Model!L37-Model!L38</f>
        <v>23.696619284612922</v>
      </c>
      <c r="M26" s="287">
        <f>Model!M36+Model!M37-Model!M38</f>
        <v>23.667354254495478</v>
      </c>
      <c r="N26" s="287">
        <f>Model!N36+Model!N37-Model!N38</f>
        <v>23.681986769554214</v>
      </c>
      <c r="O26" s="287">
        <f>Model!O36+Model!O37-Model!O38</f>
        <v>23.674670512024861</v>
      </c>
      <c r="P26" s="287">
        <f>Model!P36+Model!P37-Model!P38</f>
        <v>23.678328640789545</v>
      </c>
      <c r="Q26" s="287">
        <f>Model!Q36+Model!Q37-Model!Q38</f>
        <v>23.676499576407195</v>
      </c>
    </row>
    <row r="27" spans="2:17">
      <c r="B27" s="256"/>
      <c r="C27" s="279"/>
      <c r="D27" s="279"/>
      <c r="E27" s="279"/>
      <c r="F27" s="279"/>
      <c r="G27" s="279"/>
      <c r="H27" s="279"/>
      <c r="I27" s="279"/>
      <c r="J27" s="279"/>
      <c r="K27" s="279"/>
      <c r="L27" s="279"/>
      <c r="M27" s="279"/>
      <c r="N27" s="279"/>
      <c r="O27" s="279"/>
      <c r="P27" s="279"/>
      <c r="Q27" s="279"/>
    </row>
    <row r="28" spans="2:17">
      <c r="B28" s="236" t="s">
        <v>441</v>
      </c>
      <c r="C28" s="279"/>
      <c r="D28" s="279"/>
      <c r="E28" s="279"/>
      <c r="F28" s="279"/>
      <c r="G28" s="279"/>
      <c r="H28" s="279"/>
      <c r="I28" s="279"/>
      <c r="J28" s="279"/>
      <c r="K28" s="279"/>
      <c r="L28" s="279"/>
      <c r="M28" s="279"/>
      <c r="N28" s="279"/>
      <c r="O28" s="279"/>
      <c r="P28" s="279"/>
      <c r="Q28" s="279"/>
    </row>
    <row r="29" spans="2:17">
      <c r="B29" s="20" t="s">
        <v>442</v>
      </c>
      <c r="C29" s="281">
        <f>Model!C57/Model!C72</f>
        <v>1.6620866706969151</v>
      </c>
      <c r="D29" s="281">
        <f>Model!D57/Model!D72</f>
        <v>1.6822408436408296</v>
      </c>
      <c r="E29" s="281">
        <f>Model!E57/Model!E72</f>
        <v>1.67368826882484</v>
      </c>
      <c r="F29" s="281">
        <f>Model!F57/Model!F72</f>
        <v>1.8908827103022494</v>
      </c>
      <c r="G29" s="281">
        <f>Model!G57/Model!G72</f>
        <v>1.845073328640259</v>
      </c>
      <c r="H29" s="281">
        <f>Model!H57/Model!H72</f>
        <v>1.7871827744494491</v>
      </c>
      <c r="I29" s="281">
        <f>Model!I57/Model!I72</f>
        <v>1.7241844393400554</v>
      </c>
      <c r="J29" s="281">
        <f>Model!J57/Model!J72</f>
        <v>1.6501819169309162</v>
      </c>
      <c r="K29" s="281">
        <f>Model!K57/Model!K72</f>
        <v>1.5803651685106026</v>
      </c>
      <c r="L29" s="281">
        <f>Model!L57/Model!L72</f>
        <v>1.5178109578260663</v>
      </c>
      <c r="M29" s="281">
        <f>Model!M57/Model!M72</f>
        <v>1.4616431852786453</v>
      </c>
      <c r="N29" s="281">
        <f>Model!N57/Model!N72</f>
        <v>1.4143606445686479</v>
      </c>
      <c r="O29" s="281">
        <f>Model!O57/Model!O72</f>
        <v>1.3727044220868223</v>
      </c>
      <c r="P29" s="281">
        <f>Model!P57/Model!P72</f>
        <v>1.3389217876125534</v>
      </c>
      <c r="Q29" s="281">
        <f>Model!Q57/Model!Q72</f>
        <v>1.3090798755685695</v>
      </c>
    </row>
    <row r="30" spans="2:17">
      <c r="B30" s="273" t="s">
        <v>341</v>
      </c>
      <c r="C30" s="285">
        <f>Model!C64/Model!C72</f>
        <v>0.22402576609582942</v>
      </c>
      <c r="D30" s="285">
        <f>Model!D64/Model!D72</f>
        <v>0.20354962968853485</v>
      </c>
      <c r="E30" s="285">
        <f>Model!E64/Model!E72</f>
        <v>0.18933137985042375</v>
      </c>
      <c r="F30" s="285">
        <f>Model!F64/Model!F72</f>
        <v>0.34087783802865412</v>
      </c>
      <c r="G30" s="285">
        <f>Model!G64/Model!G72</f>
        <v>0.31002339489926983</v>
      </c>
      <c r="H30" s="285">
        <f>Model!H64/Model!H72</f>
        <v>0.28558331397171216</v>
      </c>
      <c r="I30" s="285">
        <f>Model!I64/Model!I72</f>
        <v>0.25040494281413123</v>
      </c>
      <c r="J30" s="285">
        <f>Model!J64/Model!J72</f>
        <v>0.20307109439447057</v>
      </c>
      <c r="K30" s="285">
        <f>Model!K64/Model!K72</f>
        <v>0.16160553013951662</v>
      </c>
      <c r="L30" s="285">
        <f>Model!L64/Model!L72</f>
        <v>0.1257865212026994</v>
      </c>
      <c r="M30" s="285">
        <f>Model!M64/Model!M72</f>
        <v>9.5168899077642699E-2</v>
      </c>
      <c r="N30" s="285">
        <f>Model!N64/Model!N72</f>
        <v>7.2703752280022571E-2</v>
      </c>
      <c r="O30" s="285">
        <f>Model!O64/Model!O72</f>
        <v>5.371486178807576E-2</v>
      </c>
      <c r="P30" s="285">
        <f>Model!P64/Model!P72</f>
        <v>4.0482508066587389E-2</v>
      </c>
      <c r="Q30" s="285">
        <f>Model!Q64/Model!Q72</f>
        <v>2.9273136662659117E-2</v>
      </c>
    </row>
    <row r="31" spans="2:17">
      <c r="B31" s="273" t="s">
        <v>443</v>
      </c>
      <c r="C31" s="289">
        <f>Model!C64/SUM(Model!C64,Model!C72)</f>
        <v>0.18302373389604801</v>
      </c>
      <c r="D31" s="289">
        <f>Model!D64/SUM(Model!D64,Model!D72)</f>
        <v>0.16912441719683069</v>
      </c>
      <c r="E31" s="289">
        <f>Model!E64/SUM(Model!E64,Model!E72)</f>
        <v>0.15919144408199759</v>
      </c>
      <c r="F31" s="289">
        <f>Model!F64/SUM(Model!F64,Model!F72)</f>
        <v>0.2542199060652755</v>
      </c>
      <c r="G31" s="289">
        <f>Model!G64/SUM(Model!G64,Model!G72)</f>
        <v>0.23665485372733219</v>
      </c>
      <c r="H31" s="289">
        <f>Model!H64/SUM(Model!H64,Model!H72)</f>
        <v>0.22214298433092147</v>
      </c>
      <c r="I31" s="289">
        <f>Model!I64/SUM(Model!I64,Model!I72)</f>
        <v>0.20025907947114788</v>
      </c>
      <c r="J31" s="289">
        <f>Model!J64/SUM(Model!J64,Model!J72)</f>
        <v>0.16879392692638856</v>
      </c>
      <c r="K31" s="289">
        <f>Model!K64/SUM(Model!K64,Model!K72)</f>
        <v>0.13912255576134069</v>
      </c>
      <c r="L31" s="289">
        <f>Model!L64/SUM(Model!L64,Model!L72)</f>
        <v>0.11173212579265847</v>
      </c>
      <c r="M31" s="289">
        <f>Model!M64/SUM(Model!M64,Model!M72)</f>
        <v>8.6898832826420164E-2</v>
      </c>
      <c r="N31" s="289">
        <f>Model!N64/SUM(Model!N64,Model!N72)</f>
        <v>6.7776170378346656E-2</v>
      </c>
      <c r="O31" s="289">
        <f>Model!O64/SUM(Model!O64,Model!O72)</f>
        <v>5.097665766707099E-2</v>
      </c>
      <c r="P31" s="289">
        <f>Model!P64/SUM(Model!P64,Model!P72)</f>
        <v>3.8907437417483856E-2</v>
      </c>
      <c r="Q31" s="289">
        <f>Model!Q64/SUM(Model!Q64,Model!Q72)</f>
        <v>2.8440591345437291E-2</v>
      </c>
    </row>
    <row r="32" spans="2:17" s="248" customFormat="1">
      <c r="B32" s="274" t="s">
        <v>237</v>
      </c>
      <c r="C32" s="285">
        <f>Model!C140/Model!C12</f>
        <v>0.51902886398276915</v>
      </c>
      <c r="D32" s="285">
        <f>Model!D140/Model!D12</f>
        <v>0.38339053753113239</v>
      </c>
      <c r="E32" s="285">
        <f>Model!E140/Model!E12</f>
        <v>0.39595298167259896</v>
      </c>
      <c r="F32" s="285">
        <f>Model!F140/Model!F12</f>
        <v>1.5584206984698321</v>
      </c>
      <c r="G32" s="285">
        <f>Model!G140/Model!G12</f>
        <v>1.0948806214722133</v>
      </c>
      <c r="H32" s="285">
        <f>Model!H140/Model!H12</f>
        <v>0.96832920538098055</v>
      </c>
      <c r="I32" s="285">
        <f>Model!I140/Model!I12</f>
        <v>0.77585087906913797</v>
      </c>
      <c r="J32" s="285">
        <f>Model!J140/Model!J12</f>
        <v>0.49470945235743974</v>
      </c>
      <c r="K32" s="285">
        <f>Model!K140/Model!K12</f>
        <v>0.22418438868887028</v>
      </c>
      <c r="L32" s="285">
        <f>Model!L140/Model!L12</f>
        <v>-5.4825285736272385E-2</v>
      </c>
      <c r="M32" s="285">
        <f>Model!M140/Model!M12</f>
        <v>-0.32441695805538695</v>
      </c>
      <c r="N32" s="285">
        <f>Model!N140/Model!N12</f>
        <v>-0.60710952543002616</v>
      </c>
      <c r="O32" s="285">
        <f>Model!O140/Model!O12</f>
        <v>-0.88090743796689874</v>
      </c>
      <c r="P32" s="285">
        <f>Model!P140/Model!P12</f>
        <v>-1.1619387395350123</v>
      </c>
      <c r="Q32" s="285">
        <f>Model!Q140/Model!Q12</f>
        <v>-1.434230441688271</v>
      </c>
    </row>
    <row r="33" spans="2:17" s="248" customFormat="1">
      <c r="B33" s="275" t="s">
        <v>449</v>
      </c>
      <c r="C33" s="288">
        <f>Model!C14/-Model!C127</f>
        <v>9.31460448179865</v>
      </c>
      <c r="D33" s="288">
        <f>Model!D14/-Model!D127</f>
        <v>9.397923959548816</v>
      </c>
      <c r="E33" s="288">
        <f>Model!E14/-Model!E127</f>
        <v>10.147995867768593</v>
      </c>
      <c r="F33" s="288">
        <f>Model!F14/-Model!F127</f>
        <v>5.1755789014504368</v>
      </c>
      <c r="G33" s="288">
        <f>Model!G14/-Model!G127</f>
        <v>6.6120125446783922</v>
      </c>
      <c r="H33" s="288">
        <f>Model!H14/-Model!H127</f>
        <v>7.295200161827565</v>
      </c>
      <c r="I33" s="288">
        <f>Model!I14/-Model!I127</f>
        <v>8.3952242923591864</v>
      </c>
      <c r="J33" s="288">
        <f>Model!J14/-Model!J127</f>
        <v>9.9134827984937406</v>
      </c>
      <c r="K33" s="288">
        <f>Model!K14/-Model!K127</f>
        <v>12.441558204061479</v>
      </c>
      <c r="L33" s="288">
        <f>Model!L14/-Model!L127</f>
        <v>15.72694462688095</v>
      </c>
      <c r="M33" s="288">
        <f>Model!M14/-Model!M127</f>
        <v>20.164061437159457</v>
      </c>
      <c r="N33" s="288">
        <f>Model!N14/-Model!N127</f>
        <v>26.011153665549983</v>
      </c>
      <c r="O33" s="288">
        <f>Model!O14/-Model!O127</f>
        <v>33.142122376414093</v>
      </c>
      <c r="P33" s="288">
        <f>Model!P14/-Model!P127</f>
        <v>43.541962525903031</v>
      </c>
      <c r="Q33" s="288">
        <f>Model!Q14/-Model!Q127</f>
        <v>56.021221711581127</v>
      </c>
    </row>
    <row r="34" spans="2:17">
      <c r="B34" s="256"/>
      <c r="C34" s="279"/>
      <c r="D34" s="279"/>
      <c r="E34" s="279"/>
      <c r="F34" s="279"/>
      <c r="G34" s="279"/>
      <c r="H34" s="279"/>
      <c r="I34" s="279"/>
      <c r="J34" s="279"/>
      <c r="K34" s="279"/>
      <c r="L34" s="279"/>
      <c r="M34" s="279"/>
      <c r="N34" s="279"/>
      <c r="O34" s="279"/>
      <c r="P34" s="279"/>
      <c r="Q34" s="279"/>
    </row>
    <row r="35" spans="2:17">
      <c r="B35" s="236" t="s">
        <v>444</v>
      </c>
      <c r="C35" s="279"/>
      <c r="D35" s="279"/>
      <c r="E35" s="279"/>
      <c r="F35" s="279"/>
      <c r="G35" s="279"/>
      <c r="H35" s="279"/>
      <c r="I35" s="279"/>
      <c r="J35" s="279"/>
      <c r="K35" s="279"/>
      <c r="L35" s="279"/>
      <c r="M35" s="279"/>
      <c r="N35" s="279"/>
      <c r="O35" s="279"/>
      <c r="P35" s="279"/>
      <c r="Q35" s="279"/>
    </row>
    <row r="36" spans="2:17">
      <c r="B36" s="20" t="s">
        <v>445</v>
      </c>
      <c r="C36" s="283"/>
      <c r="D36" s="281">
        <f>Model!D7/AVERAGE(Model!C47:D47)</f>
        <v>18.228376495071796</v>
      </c>
      <c r="E36" s="281">
        <f>Model!E7/AVERAGE(Model!D47:E47)</f>
        <v>17.411067649824805</v>
      </c>
      <c r="F36" s="281">
        <f>Model!F7/AVERAGE(Model!E47:F47)</f>
        <v>14.939431041824632</v>
      </c>
      <c r="G36" s="281">
        <f>Model!G7/AVERAGE(Model!F47:G47)</f>
        <v>14.852173840087255</v>
      </c>
      <c r="H36" s="281">
        <f>Model!H7/AVERAGE(Model!G47:H47)</f>
        <v>15.463485091511663</v>
      </c>
      <c r="I36" s="281">
        <f>Model!I7/AVERAGE(Model!H47:I47)</f>
        <v>15.79651279094</v>
      </c>
      <c r="J36" s="281">
        <f>Model!J7/AVERAGE(Model!I47:J47)</f>
        <v>15.704814611436309</v>
      </c>
      <c r="K36" s="281">
        <f>Model!K7/AVERAGE(Model!J47:K47)</f>
        <v>15.608698986691266</v>
      </c>
      <c r="L36" s="281">
        <f>Model!L7/AVERAGE(Model!K47:L47)</f>
        <v>15.570818063589483</v>
      </c>
      <c r="M36" s="281">
        <f>Model!M7/AVERAGE(Model!L47:M47)</f>
        <v>15.538926023646013</v>
      </c>
      <c r="N36" s="281">
        <f>Model!N7/AVERAGE(Model!M47:N47)</f>
        <v>15.420565532742408</v>
      </c>
      <c r="O36" s="281">
        <f>Model!O7/AVERAGE(Model!N47:O47)</f>
        <v>15.395545558919409</v>
      </c>
      <c r="P36" s="281">
        <f>Model!P7/AVERAGE(Model!O47:P47)</f>
        <v>15.372674846780317</v>
      </c>
      <c r="Q36" s="281">
        <f>Model!Q7/AVERAGE(Model!P47:Q47)</f>
        <v>15.351945695923421</v>
      </c>
    </row>
    <row r="37" spans="2:17">
      <c r="B37" s="273" t="s">
        <v>168</v>
      </c>
      <c r="C37" s="284"/>
      <c r="D37" s="290">
        <f>365/D36</f>
        <v>20.023725102379853</v>
      </c>
      <c r="E37" s="290">
        <f t="shared" ref="E37:Q37" si="1">365/E36</f>
        <v>20.963677089823538</v>
      </c>
      <c r="F37" s="290">
        <f t="shared" si="1"/>
        <v>24.43198800397024</v>
      </c>
      <c r="G37" s="290">
        <f t="shared" si="1"/>
        <v>24.575527052803178</v>
      </c>
      <c r="H37" s="290">
        <f t="shared" si="1"/>
        <v>23.603993397346027</v>
      </c>
      <c r="I37" s="290">
        <f t="shared" si="1"/>
        <v>23.106365615665737</v>
      </c>
      <c r="J37" s="290">
        <f t="shared" si="1"/>
        <v>23.241280399082555</v>
      </c>
      <c r="K37" s="290">
        <f t="shared" si="1"/>
        <v>23.384396118550093</v>
      </c>
      <c r="L37" s="290">
        <f t="shared" si="1"/>
        <v>23.441286033230927</v>
      </c>
      <c r="M37" s="290">
        <f t="shared" si="1"/>
        <v>23.489396850501084</v>
      </c>
      <c r="N37" s="290">
        <f t="shared" si="1"/>
        <v>23.669689624871239</v>
      </c>
      <c r="O37" s="290">
        <f t="shared" si="1"/>
        <v>23.708156271768964</v>
      </c>
      <c r="P37" s="290">
        <f t="shared" si="1"/>
        <v>23.743428104605123</v>
      </c>
      <c r="Q37" s="290">
        <f t="shared" si="1"/>
        <v>23.77548795635218</v>
      </c>
    </row>
    <row r="38" spans="2:17">
      <c r="B38" s="273" t="s">
        <v>446</v>
      </c>
      <c r="C38" s="284"/>
      <c r="D38" s="285">
        <f>-Model!D8/AVERAGE(Model!C48:D48)</f>
        <v>4.6211735331245531</v>
      </c>
      <c r="E38" s="285">
        <f>-Model!E8/AVERAGE(Model!D48:E48)</f>
        <v>4.0405713723524368</v>
      </c>
      <c r="F38" s="285">
        <f>-Model!F8/AVERAGE(Model!E48:F48)</f>
        <v>3.5906089180404095</v>
      </c>
      <c r="G38" s="285">
        <f>-Model!G8/AVERAGE(Model!F48:G48)</f>
        <v>3.8204313593938077</v>
      </c>
      <c r="H38" s="285">
        <f>-Model!H8/AVERAGE(Model!G48:H48)</f>
        <v>3.9154330717252863</v>
      </c>
      <c r="I38" s="285">
        <f>-Model!I8/AVERAGE(Model!H48:I48)</f>
        <v>3.961483719291214</v>
      </c>
      <c r="J38" s="285">
        <f>-Model!J8/AVERAGE(Model!I48:J48)</f>
        <v>3.9523689777720343</v>
      </c>
      <c r="K38" s="285">
        <f>-Model!K8/AVERAGE(Model!J48:K48)</f>
        <v>3.9211169074463696</v>
      </c>
      <c r="L38" s="285">
        <f>-Model!L8/AVERAGE(Model!K48:L48)</f>
        <v>3.9151865978268767</v>
      </c>
      <c r="M38" s="285">
        <f>-Model!M8/AVERAGE(Model!L48:M48)</f>
        <v>3.9053626510966248</v>
      </c>
      <c r="N38" s="285">
        <f>-Model!N8/AVERAGE(Model!M48:N48)</f>
        <v>3.8765235266316203</v>
      </c>
      <c r="O38" s="285">
        <f>-Model!O8/AVERAGE(Model!N48:O48)</f>
        <v>3.869771362734888</v>
      </c>
      <c r="P38" s="285">
        <f>-Model!P8/AVERAGE(Model!O48:P48)</f>
        <v>3.8642548130004433</v>
      </c>
      <c r="Q38" s="285">
        <f>-Model!Q8/AVERAGE(Model!P48:Q48)</f>
        <v>3.8589275926837967</v>
      </c>
    </row>
    <row r="39" spans="2:17">
      <c r="B39" s="273" t="s">
        <v>447</v>
      </c>
      <c r="C39" s="284"/>
      <c r="D39" s="290">
        <f>365/D38</f>
        <v>78.984266092515568</v>
      </c>
      <c r="E39" s="290">
        <f t="shared" ref="E39:Q39" si="2">365/E38</f>
        <v>90.333758858340758</v>
      </c>
      <c r="F39" s="290">
        <f t="shared" si="2"/>
        <v>101.6540671322123</v>
      </c>
      <c r="G39" s="290">
        <f t="shared" si="2"/>
        <v>95.538949836783601</v>
      </c>
      <c r="H39" s="290">
        <f t="shared" si="2"/>
        <v>93.220850238966634</v>
      </c>
      <c r="I39" s="290">
        <f t="shared" si="2"/>
        <v>92.137195521607637</v>
      </c>
      <c r="J39" s="290">
        <f t="shared" si="2"/>
        <v>92.349677384056363</v>
      </c>
      <c r="K39" s="290">
        <f t="shared" si="2"/>
        <v>93.085722414154318</v>
      </c>
      <c r="L39" s="290">
        <f t="shared" si="2"/>
        <v>93.226718798688452</v>
      </c>
      <c r="M39" s="290">
        <f t="shared" si="2"/>
        <v>93.461230776483234</v>
      </c>
      <c r="N39" s="290">
        <f t="shared" si="2"/>
        <v>94.15652903754075</v>
      </c>
      <c r="O39" s="290">
        <f t="shared" si="2"/>
        <v>94.320817895050808</v>
      </c>
      <c r="P39" s="290">
        <f t="shared" si="2"/>
        <v>94.455468819508752</v>
      </c>
      <c r="Q39" s="290">
        <f t="shared" si="2"/>
        <v>94.585863878868679</v>
      </c>
    </row>
    <row r="40" spans="2:17">
      <c r="B40" s="273" t="s">
        <v>450</v>
      </c>
      <c r="C40" s="284"/>
      <c r="D40" s="285">
        <f>-Model!D8/AVERAGE(Model!C60:D60)</f>
        <v>4.3154833986504109</v>
      </c>
      <c r="E40" s="285">
        <f>-Model!E8/AVERAGE(Model!D60:E60)</f>
        <v>3.8484130490074024</v>
      </c>
      <c r="F40" s="285">
        <f>-Model!F8/AVERAGE(Model!E60:F60)</f>
        <v>3.6081346481850591</v>
      </c>
      <c r="G40" s="285">
        <f>-Model!G8/AVERAGE(Model!F60:G60)</f>
        <v>3.7604950677743365</v>
      </c>
      <c r="H40" s="285">
        <f>-Model!H8/AVERAGE(Model!G60:H60)</f>
        <v>3.8046307639909336</v>
      </c>
      <c r="I40" s="285">
        <f>-Model!I8/AVERAGE(Model!H60:I60)</f>
        <v>3.9300545337755319</v>
      </c>
      <c r="J40" s="285">
        <f>-Model!J8/AVERAGE(Model!I60:J60)</f>
        <v>3.9167823009817182</v>
      </c>
      <c r="K40" s="285">
        <f>-Model!K8/AVERAGE(Model!J60:K60)</f>
        <v>3.8879587769412836</v>
      </c>
      <c r="L40" s="285">
        <f>-Model!L8/AVERAGE(Model!K60:L60)</f>
        <v>3.8809872115551438</v>
      </c>
      <c r="M40" s="285">
        <f>-Model!M8/AVERAGE(Model!L60:M60)</f>
        <v>3.8717980844053561</v>
      </c>
      <c r="N40" s="285">
        <f>-Model!N8/AVERAGE(Model!M60:N60)</f>
        <v>3.8429304954439094</v>
      </c>
      <c r="O40" s="285">
        <f>-Model!O8/AVERAGE(Model!N60:O60)</f>
        <v>3.8363775405968621</v>
      </c>
      <c r="P40" s="285">
        <f>-Model!P8/AVERAGE(Model!O60:P60)</f>
        <v>3.8308379633351382</v>
      </c>
      <c r="Q40" s="285">
        <f>-Model!Q8/AVERAGE(Model!P60:Q60)</f>
        <v>3.8255922542632725</v>
      </c>
    </row>
    <row r="41" spans="2:17">
      <c r="B41" s="273" t="s">
        <v>170</v>
      </c>
      <c r="C41" s="284"/>
      <c r="D41" s="290">
        <f>365/D40</f>
        <v>84.579169071568472</v>
      </c>
      <c r="E41" s="290">
        <f t="shared" ref="E41:Q41" si="3">365/E40</f>
        <v>94.844289152938558</v>
      </c>
      <c r="F41" s="290">
        <f t="shared" si="3"/>
        <v>101.1603045866373</v>
      </c>
      <c r="G41" s="290">
        <f t="shared" si="3"/>
        <v>97.061688267557457</v>
      </c>
      <c r="H41" s="290">
        <f t="shared" si="3"/>
        <v>95.935722187434266</v>
      </c>
      <c r="I41" s="290">
        <f t="shared" si="3"/>
        <v>92.874029320237227</v>
      </c>
      <c r="J41" s="290">
        <f t="shared" si="3"/>
        <v>93.188738089557575</v>
      </c>
      <c r="K41" s="290">
        <f t="shared" si="3"/>
        <v>93.879596194471759</v>
      </c>
      <c r="L41" s="290">
        <f t="shared" si="3"/>
        <v>94.048235694582843</v>
      </c>
      <c r="M41" s="290">
        <f t="shared" si="3"/>
        <v>94.271444957351889</v>
      </c>
      <c r="N41" s="290">
        <f t="shared" si="3"/>
        <v>94.979599665603018</v>
      </c>
      <c r="O41" s="290">
        <f t="shared" si="3"/>
        <v>95.141835269740795</v>
      </c>
      <c r="P41" s="290">
        <f t="shared" si="3"/>
        <v>95.279414972234946</v>
      </c>
      <c r="Q41" s="290">
        <f t="shared" si="3"/>
        <v>95.410063524998222</v>
      </c>
    </row>
    <row r="42" spans="2:17">
      <c r="B42" s="19" t="s">
        <v>448</v>
      </c>
      <c r="C42" s="282"/>
      <c r="D42" s="288">
        <f>Model!D7/AVERAGE(Model!C52:D52)</f>
        <v>1.2616003077795022</v>
      </c>
      <c r="E42" s="288">
        <f>Model!E7/AVERAGE(Model!D52:E52)</f>
        <v>1.2947630746015637</v>
      </c>
      <c r="F42" s="288">
        <f>Model!F7/AVERAGE(Model!E52:F52)</f>
        <v>1.0784154568026878</v>
      </c>
      <c r="G42" s="288">
        <f>Model!G7/AVERAGE(Model!F52:G52)</f>
        <v>1.0273356392950075</v>
      </c>
      <c r="H42" s="288">
        <f>Model!H7/AVERAGE(Model!G52:H52)</f>
        <v>1.0563923158546686</v>
      </c>
      <c r="I42" s="288">
        <f>Model!I7/AVERAGE(Model!H52:I52)</f>
        <v>1.1320120159128266</v>
      </c>
      <c r="J42" s="288">
        <f>Model!J7/AVERAGE(Model!I52:J52)</f>
        <v>1.2118881926774918</v>
      </c>
      <c r="K42" s="288">
        <f>Model!K7/AVERAGE(Model!J52:K52)</f>
        <v>1.2923015964497373</v>
      </c>
      <c r="L42" s="288">
        <f>Model!L7/AVERAGE(Model!K52:L52)</f>
        <v>1.3725400976696653</v>
      </c>
      <c r="M42" s="288">
        <f>Model!M7/AVERAGE(Model!L52:M52)</f>
        <v>1.4525513641625059</v>
      </c>
      <c r="N42" s="288">
        <f>Model!N7/AVERAGE(Model!M52:N52)</f>
        <v>1.5144944737168733</v>
      </c>
      <c r="O42" s="288">
        <f>Model!O7/AVERAGE(Model!N52:O52)</f>
        <v>1.5753974979709697</v>
      </c>
      <c r="P42" s="288">
        <f>Model!P7/AVERAGE(Model!O52:P52)</f>
        <v>1.635499039805147</v>
      </c>
      <c r="Q42" s="288">
        <f>Model!Q7/AVERAGE(Model!P52:Q52)</f>
        <v>1.6948132312827204</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2480"/>
  <sheetViews>
    <sheetView showGridLines="0" workbookViewId="0">
      <selection activeCell="F10" sqref="F10"/>
    </sheetView>
  </sheetViews>
  <sheetFormatPr defaultRowHeight="14.5"/>
  <cols>
    <col min="1" max="1" width="1.81640625" customWidth="1"/>
    <col min="2" max="3" width="14.6328125" customWidth="1"/>
    <col min="5" max="6" width="12.6328125" customWidth="1"/>
  </cols>
  <sheetData>
    <row r="2" spans="2:7" ht="21">
      <c r="B2" s="146" t="str">
        <f>Model!B2</f>
        <v>UltraTech Cement Ltd</v>
      </c>
      <c r="C2" s="143"/>
      <c r="D2" s="143"/>
      <c r="E2" s="143"/>
      <c r="F2" s="143"/>
      <c r="G2" s="143"/>
    </row>
    <row r="3" spans="2:7">
      <c r="B3" s="144" t="s">
        <v>315</v>
      </c>
      <c r="C3" s="143"/>
      <c r="D3" s="143"/>
      <c r="E3" s="143"/>
      <c r="F3" s="143"/>
      <c r="G3" s="143"/>
    </row>
    <row r="5" spans="2:7">
      <c r="B5" s="144"/>
      <c r="C5" s="144" t="s">
        <v>317</v>
      </c>
    </row>
    <row r="6" spans="2:7">
      <c r="B6" s="144" t="s">
        <v>316</v>
      </c>
      <c r="C6" s="144" t="s">
        <v>318</v>
      </c>
    </row>
    <row r="7" spans="2:7">
      <c r="E7" s="158" t="s">
        <v>317</v>
      </c>
      <c r="F7" s="159" t="s">
        <v>319</v>
      </c>
    </row>
    <row r="8" spans="2:7">
      <c r="B8" s="156">
        <v>46303</v>
      </c>
      <c r="C8" s="157">
        <v>33781.1</v>
      </c>
      <c r="E8" s="158" t="s">
        <v>320</v>
      </c>
      <c r="F8" s="160">
        <f>YEARFRAC(B8,B2480)</f>
        <v>9.9944444444444436</v>
      </c>
    </row>
    <row r="9" spans="2:7">
      <c r="B9" s="156">
        <v>46302</v>
      </c>
      <c r="C9" s="157">
        <v>34345.160000000003</v>
      </c>
      <c r="E9" s="158" t="s">
        <v>321</v>
      </c>
      <c r="F9" s="161">
        <f>(C8/C2480)^(1/F8)-1</f>
        <v>0.11163967531939645</v>
      </c>
    </row>
    <row r="10" spans="2:7">
      <c r="B10" s="156">
        <v>46301</v>
      </c>
      <c r="C10" s="157">
        <v>34608.14</v>
      </c>
      <c r="E10" s="162"/>
      <c r="F10" s="163"/>
    </row>
    <row r="11" spans="2:7">
      <c r="B11" s="156">
        <v>46300</v>
      </c>
      <c r="C11" s="157">
        <v>34273.35</v>
      </c>
    </row>
    <row r="12" spans="2:7">
      <c r="B12" s="156">
        <v>46296</v>
      </c>
      <c r="C12" s="157">
        <v>34070.01</v>
      </c>
    </row>
    <row r="13" spans="2:7">
      <c r="B13" s="156">
        <v>46295</v>
      </c>
      <c r="C13" s="157">
        <v>34371.660000000003</v>
      </c>
    </row>
    <row r="14" spans="2:7">
      <c r="B14" s="156">
        <v>46294</v>
      </c>
      <c r="C14" s="157">
        <v>34517.11</v>
      </c>
    </row>
    <row r="15" spans="2:7">
      <c r="B15" s="156">
        <v>46293</v>
      </c>
      <c r="C15" s="157">
        <v>34614.46</v>
      </c>
    </row>
    <row r="16" spans="2:7">
      <c r="B16" s="156">
        <v>46290</v>
      </c>
      <c r="C16" s="157">
        <v>35161.85</v>
      </c>
    </row>
    <row r="17" spans="2:3">
      <c r="B17" s="156">
        <v>46289</v>
      </c>
      <c r="C17" s="157">
        <v>35044.239999999998</v>
      </c>
    </row>
    <row r="18" spans="2:3">
      <c r="B18" s="156">
        <v>46288</v>
      </c>
      <c r="C18" s="157">
        <v>35627.25</v>
      </c>
    </row>
    <row r="19" spans="2:3">
      <c r="B19" s="156">
        <v>46287</v>
      </c>
      <c r="C19" s="157">
        <v>35448.239999999998</v>
      </c>
    </row>
    <row r="20" spans="2:3">
      <c r="B20" s="156">
        <v>46286</v>
      </c>
      <c r="C20" s="157">
        <v>35577.9</v>
      </c>
    </row>
    <row r="21" spans="2:3">
      <c r="B21" s="156">
        <v>46283</v>
      </c>
      <c r="C21" s="157">
        <v>35474.68</v>
      </c>
    </row>
    <row r="22" spans="2:3">
      <c r="B22" s="156">
        <v>46282</v>
      </c>
      <c r="C22" s="157">
        <v>35359.550000000003</v>
      </c>
    </row>
    <row r="23" spans="2:3">
      <c r="B23" s="156">
        <v>46281</v>
      </c>
      <c r="C23" s="157">
        <v>35279</v>
      </c>
    </row>
    <row r="24" spans="2:3">
      <c r="B24" s="156">
        <v>46280</v>
      </c>
      <c r="C24" s="157">
        <v>35128.550000000003</v>
      </c>
    </row>
    <row r="25" spans="2:3">
      <c r="B25" s="156">
        <v>46276</v>
      </c>
      <c r="C25" s="157">
        <v>35553.300000000003</v>
      </c>
    </row>
    <row r="26" spans="2:3">
      <c r="B26" s="156">
        <v>46275</v>
      </c>
      <c r="C26" s="157">
        <v>35674.370000000003</v>
      </c>
    </row>
    <row r="27" spans="2:3">
      <c r="B27" s="156">
        <v>46274</v>
      </c>
      <c r="C27" s="157">
        <v>35604.019999999997</v>
      </c>
    </row>
    <row r="28" spans="2:3">
      <c r="B28" s="156">
        <v>46273</v>
      </c>
      <c r="C28" s="157">
        <v>35913.370000000003</v>
      </c>
    </row>
    <row r="29" spans="2:3">
      <c r="B29" s="156">
        <v>46272</v>
      </c>
      <c r="C29" s="157">
        <v>36132.239999999998</v>
      </c>
    </row>
    <row r="30" spans="2:3">
      <c r="B30" s="156">
        <v>46269</v>
      </c>
      <c r="C30" s="157">
        <v>36312.44</v>
      </c>
    </row>
    <row r="31" spans="2:3">
      <c r="B31" s="156">
        <v>46268</v>
      </c>
      <c r="C31" s="157">
        <v>36270.120000000003</v>
      </c>
    </row>
    <row r="32" spans="2:3">
      <c r="B32" s="156">
        <v>46267</v>
      </c>
      <c r="C32" s="157">
        <v>36332.379999999997</v>
      </c>
    </row>
    <row r="33" spans="2:3">
      <c r="B33" s="156">
        <v>46266</v>
      </c>
      <c r="C33" s="157">
        <v>36541.61</v>
      </c>
    </row>
    <row r="34" spans="2:3">
      <c r="B34" s="156">
        <v>46265</v>
      </c>
      <c r="C34" s="157">
        <v>36579</v>
      </c>
    </row>
    <row r="35" spans="2:3">
      <c r="B35" s="156">
        <v>46262</v>
      </c>
      <c r="C35" s="157">
        <v>36723.65</v>
      </c>
    </row>
    <row r="36" spans="2:3">
      <c r="B36" s="156">
        <v>46261</v>
      </c>
      <c r="C36" s="157">
        <v>36594.870000000003</v>
      </c>
    </row>
    <row r="37" spans="2:3">
      <c r="B37" s="156">
        <v>46260</v>
      </c>
      <c r="C37" s="157">
        <v>36772.39</v>
      </c>
    </row>
    <row r="38" spans="2:3">
      <c r="B38" s="156">
        <v>46259</v>
      </c>
      <c r="C38" s="157">
        <v>36965.040000000001</v>
      </c>
    </row>
    <row r="39" spans="2:3">
      <c r="B39" s="156">
        <v>46258</v>
      </c>
      <c r="C39" s="157">
        <v>36789.58</v>
      </c>
    </row>
    <row r="40" spans="2:3">
      <c r="B40" s="156">
        <v>46255</v>
      </c>
      <c r="C40" s="157">
        <v>36839.599999999999</v>
      </c>
    </row>
    <row r="41" spans="2:3">
      <c r="B41" s="156">
        <v>46254</v>
      </c>
      <c r="C41" s="157">
        <v>36808.99</v>
      </c>
    </row>
    <row r="42" spans="2:3">
      <c r="B42" s="156">
        <v>46253</v>
      </c>
      <c r="C42" s="157">
        <v>36575.78</v>
      </c>
    </row>
    <row r="43" spans="2:3">
      <c r="B43" s="156">
        <v>46252</v>
      </c>
      <c r="C43" s="157">
        <v>36692.129999999997</v>
      </c>
    </row>
    <row r="44" spans="2:3">
      <c r="B44" s="156">
        <v>46251</v>
      </c>
      <c r="C44" s="157">
        <v>36893.769999999997</v>
      </c>
    </row>
    <row r="45" spans="2:3">
      <c r="B45" s="156">
        <v>46248</v>
      </c>
      <c r="C45" s="157">
        <v>37012.79</v>
      </c>
    </row>
    <row r="46" spans="2:3">
      <c r="B46" s="156">
        <v>46247</v>
      </c>
      <c r="C46" s="157">
        <v>37057.800000000003</v>
      </c>
    </row>
    <row r="47" spans="2:3">
      <c r="B47" s="156">
        <v>46246</v>
      </c>
      <c r="C47" s="157">
        <v>37116.199999999997</v>
      </c>
    </row>
    <row r="48" spans="2:3">
      <c r="B48" s="156">
        <v>46245</v>
      </c>
      <c r="C48" s="157">
        <v>37170.47</v>
      </c>
    </row>
    <row r="49" spans="2:3">
      <c r="B49" s="156">
        <v>46244</v>
      </c>
      <c r="C49" s="157">
        <v>37340.74</v>
      </c>
    </row>
    <row r="50" spans="2:3">
      <c r="B50" s="156">
        <v>46241</v>
      </c>
      <c r="C50" s="157">
        <v>37320.160000000003</v>
      </c>
    </row>
    <row r="51" spans="2:3">
      <c r="B51" s="156">
        <v>46240</v>
      </c>
      <c r="C51" s="157">
        <v>37412.019999999997</v>
      </c>
    </row>
    <row r="52" spans="2:3">
      <c r="B52" s="156">
        <v>46239</v>
      </c>
      <c r="C52" s="157">
        <v>37394.79</v>
      </c>
    </row>
    <row r="53" spans="2:3">
      <c r="B53" s="156">
        <v>46238</v>
      </c>
      <c r="C53" s="157">
        <v>37379.99</v>
      </c>
    </row>
    <row r="54" spans="2:3">
      <c r="B54" s="156">
        <v>46237</v>
      </c>
      <c r="C54" s="157">
        <v>37622.04</v>
      </c>
    </row>
    <row r="55" spans="2:3">
      <c r="B55" s="156">
        <v>46234</v>
      </c>
      <c r="C55" s="157">
        <v>37000.720000000001</v>
      </c>
    </row>
    <row r="56" spans="2:3">
      <c r="B56" s="156">
        <v>46233</v>
      </c>
      <c r="C56" s="157">
        <v>36891.81</v>
      </c>
    </row>
    <row r="57" spans="2:3">
      <c r="B57" s="156">
        <v>46232</v>
      </c>
      <c r="C57" s="157">
        <v>36790.18</v>
      </c>
    </row>
    <row r="58" spans="2:3">
      <c r="B58" s="156">
        <v>46231</v>
      </c>
      <c r="C58" s="157">
        <v>36388.43</v>
      </c>
    </row>
    <row r="59" spans="2:3">
      <c r="B59" s="156">
        <v>46230</v>
      </c>
      <c r="C59" s="157">
        <v>36404.480000000003</v>
      </c>
    </row>
    <row r="60" spans="2:3">
      <c r="B60" s="156">
        <v>46227</v>
      </c>
      <c r="C60" s="157">
        <v>36055.94</v>
      </c>
    </row>
    <row r="61" spans="2:3">
      <c r="B61" s="156">
        <v>46226</v>
      </c>
      <c r="C61" s="157">
        <v>36186.61</v>
      </c>
    </row>
    <row r="62" spans="2:3">
      <c r="B62" s="156">
        <v>46225</v>
      </c>
      <c r="C62" s="157">
        <v>36378.67</v>
      </c>
    </row>
    <row r="63" spans="2:3">
      <c r="B63" s="156">
        <v>46224</v>
      </c>
      <c r="C63" s="157">
        <v>36668.86</v>
      </c>
    </row>
    <row r="64" spans="2:3">
      <c r="B64" s="156">
        <v>46223</v>
      </c>
      <c r="C64" s="157">
        <v>36745.919999999998</v>
      </c>
    </row>
    <row r="65" spans="2:3">
      <c r="B65" s="156">
        <v>46220</v>
      </c>
      <c r="C65" s="157">
        <v>36891.14</v>
      </c>
    </row>
    <row r="66" spans="2:3">
      <c r="B66" s="156">
        <v>46219</v>
      </c>
      <c r="C66" s="157">
        <v>36488.9</v>
      </c>
    </row>
    <row r="67" spans="2:3">
      <c r="B67" s="156">
        <v>46218</v>
      </c>
      <c r="C67" s="157">
        <v>36497.589999999997</v>
      </c>
    </row>
    <row r="68" spans="2:3">
      <c r="B68" s="156">
        <v>46217</v>
      </c>
      <c r="C68" s="157">
        <v>36453.46</v>
      </c>
    </row>
    <row r="69" spans="2:3">
      <c r="B69" s="156">
        <v>46216</v>
      </c>
      <c r="C69" s="157">
        <v>36694.400000000001</v>
      </c>
    </row>
    <row r="70" spans="2:3">
      <c r="B70" s="156">
        <v>46213</v>
      </c>
      <c r="C70" s="157">
        <v>36688.15</v>
      </c>
    </row>
    <row r="71" spans="2:3">
      <c r="B71" s="156">
        <v>46212</v>
      </c>
      <c r="C71" s="157">
        <v>36311.620000000003</v>
      </c>
    </row>
    <row r="72" spans="2:3">
      <c r="B72" s="156">
        <v>46211</v>
      </c>
      <c r="C72" s="157">
        <v>36187.26</v>
      </c>
    </row>
    <row r="73" spans="2:3">
      <c r="B73" s="156">
        <v>46210</v>
      </c>
      <c r="C73" s="157">
        <v>36970.129999999997</v>
      </c>
    </row>
    <row r="74" spans="2:3">
      <c r="B74" s="156">
        <v>46209</v>
      </c>
      <c r="C74" s="157">
        <v>37014.1</v>
      </c>
    </row>
    <row r="75" spans="2:3">
      <c r="B75" s="156">
        <v>46206</v>
      </c>
      <c r="C75" s="157">
        <v>36772.46</v>
      </c>
    </row>
    <row r="76" spans="2:3">
      <c r="B76" s="156">
        <v>46205</v>
      </c>
      <c r="C76" s="157">
        <v>36615.31</v>
      </c>
    </row>
    <row r="77" spans="2:3">
      <c r="B77" s="156">
        <v>46204</v>
      </c>
      <c r="C77" s="157">
        <v>36358.080000000002</v>
      </c>
    </row>
    <row r="78" spans="2:3">
      <c r="B78" s="156">
        <v>46203</v>
      </c>
      <c r="C78" s="157">
        <v>36145.879999999997</v>
      </c>
    </row>
    <row r="79" spans="2:3">
      <c r="B79" s="156">
        <v>46202</v>
      </c>
      <c r="C79" s="157">
        <v>36262.15</v>
      </c>
    </row>
    <row r="80" spans="2:3">
      <c r="B80" s="156">
        <v>46198</v>
      </c>
      <c r="C80" s="157">
        <v>36428.370000000003</v>
      </c>
    </row>
    <row r="81" spans="2:3">
      <c r="B81" s="156">
        <v>46197</v>
      </c>
      <c r="C81" s="157">
        <v>36376.39</v>
      </c>
    </row>
    <row r="82" spans="2:3">
      <c r="B82" s="156">
        <v>46196</v>
      </c>
      <c r="C82" s="157">
        <v>36077.17</v>
      </c>
    </row>
    <row r="83" spans="2:3">
      <c r="B83" s="156">
        <v>46195</v>
      </c>
      <c r="C83" s="157">
        <v>36489.39</v>
      </c>
    </row>
    <row r="84" spans="2:3">
      <c r="B84" s="156">
        <v>46192</v>
      </c>
      <c r="C84" s="157">
        <v>36353.449999999997</v>
      </c>
    </row>
    <row r="85" spans="2:3">
      <c r="B85" s="156">
        <v>46191</v>
      </c>
      <c r="C85" s="157">
        <v>36519.019999999997</v>
      </c>
    </row>
    <row r="86" spans="2:3">
      <c r="B86" s="156">
        <v>46190</v>
      </c>
      <c r="C86" s="157">
        <v>36394.660000000003</v>
      </c>
    </row>
    <row r="87" spans="2:3">
      <c r="B87" s="156">
        <v>46189</v>
      </c>
      <c r="C87" s="157">
        <v>36248.81</v>
      </c>
    </row>
    <row r="88" spans="2:3">
      <c r="B88" s="156">
        <v>46188</v>
      </c>
      <c r="C88" s="157">
        <v>36044.400000000001</v>
      </c>
    </row>
    <row r="89" spans="2:3">
      <c r="B89" s="156">
        <v>46185</v>
      </c>
      <c r="C89" s="157">
        <v>35695.33</v>
      </c>
    </row>
    <row r="90" spans="2:3">
      <c r="B90" s="156">
        <v>46184</v>
      </c>
      <c r="C90" s="157">
        <v>34985.25</v>
      </c>
    </row>
    <row r="91" spans="2:3">
      <c r="B91" s="156">
        <v>46183</v>
      </c>
      <c r="C91" s="157">
        <v>35065.85</v>
      </c>
    </row>
    <row r="92" spans="2:3">
      <c r="B92" s="156">
        <v>46182</v>
      </c>
      <c r="C92" s="157">
        <v>35106.89</v>
      </c>
    </row>
    <row r="93" spans="2:3">
      <c r="B93" s="156">
        <v>46181</v>
      </c>
      <c r="C93" s="157">
        <v>34926.959999999999</v>
      </c>
    </row>
    <row r="94" spans="2:3">
      <c r="B94" s="156">
        <v>46178</v>
      </c>
      <c r="C94" s="157">
        <v>35295.11</v>
      </c>
    </row>
    <row r="95" spans="2:3">
      <c r="B95" s="156">
        <v>46177</v>
      </c>
      <c r="C95" s="157">
        <v>35354.58</v>
      </c>
    </row>
    <row r="96" spans="2:3">
      <c r="B96" s="156">
        <v>46176</v>
      </c>
      <c r="C96" s="157">
        <v>35338.07</v>
      </c>
    </row>
    <row r="97" spans="2:3">
      <c r="B97" s="156">
        <v>46175</v>
      </c>
      <c r="C97" s="157">
        <v>35455.730000000003</v>
      </c>
    </row>
    <row r="98" spans="2:3">
      <c r="B98" s="156">
        <v>46174</v>
      </c>
      <c r="C98" s="157">
        <v>35303.300000000003</v>
      </c>
    </row>
    <row r="99" spans="2:3">
      <c r="B99" s="156">
        <v>46171</v>
      </c>
      <c r="C99" s="157">
        <v>35552.639999999999</v>
      </c>
    </row>
    <row r="100" spans="2:3">
      <c r="B100" s="156">
        <v>46169</v>
      </c>
      <c r="C100" s="157">
        <v>36089.71</v>
      </c>
    </row>
    <row r="101" spans="2:3">
      <c r="B101" s="156">
        <v>46168</v>
      </c>
      <c r="C101" s="157">
        <v>36099.61</v>
      </c>
    </row>
    <row r="102" spans="2:3">
      <c r="B102" s="156">
        <v>46167</v>
      </c>
      <c r="C102" s="157">
        <v>36277.769999999997</v>
      </c>
    </row>
    <row r="103" spans="2:3">
      <c r="B103" s="156">
        <v>46164</v>
      </c>
      <c r="C103" s="157">
        <v>35793.78</v>
      </c>
    </row>
    <row r="104" spans="2:3">
      <c r="B104" s="156">
        <v>46163</v>
      </c>
      <c r="C104" s="157">
        <v>35681.64</v>
      </c>
    </row>
    <row r="105" spans="2:3">
      <c r="B105" s="156">
        <v>46162</v>
      </c>
      <c r="C105" s="157">
        <v>35688.120000000003</v>
      </c>
    </row>
    <row r="106" spans="2:3">
      <c r="B106" s="156">
        <v>46161</v>
      </c>
      <c r="C106" s="157">
        <v>35626.29</v>
      </c>
    </row>
    <row r="107" spans="2:3">
      <c r="B107" s="156">
        <v>46160</v>
      </c>
      <c r="C107" s="157">
        <v>35674.46</v>
      </c>
    </row>
    <row r="108" spans="2:3">
      <c r="B108" s="156">
        <v>46157</v>
      </c>
      <c r="C108" s="157">
        <v>35664.76</v>
      </c>
    </row>
    <row r="109" spans="2:3">
      <c r="B109" s="156">
        <v>46156</v>
      </c>
      <c r="C109" s="157">
        <v>35710.57</v>
      </c>
    </row>
    <row r="110" spans="2:3">
      <c r="B110" s="156">
        <v>46155</v>
      </c>
      <c r="C110" s="157">
        <v>35293.050000000003</v>
      </c>
    </row>
    <row r="111" spans="2:3">
      <c r="B111" s="156">
        <v>46154</v>
      </c>
      <c r="C111" s="157">
        <v>35243.17</v>
      </c>
    </row>
    <row r="112" spans="2:3">
      <c r="B112" s="156">
        <v>46153</v>
      </c>
      <c r="C112" s="157">
        <v>35900.870000000003</v>
      </c>
    </row>
    <row r="113" spans="2:3">
      <c r="B113" s="156">
        <v>46150</v>
      </c>
      <c r="C113" s="157">
        <v>36444.03</v>
      </c>
    </row>
    <row r="114" spans="2:3">
      <c r="B114" s="156">
        <v>46149</v>
      </c>
      <c r="C114" s="157">
        <v>36670.879999999997</v>
      </c>
    </row>
    <row r="115" spans="2:3">
      <c r="B115" s="156">
        <v>46148</v>
      </c>
      <c r="C115" s="157">
        <v>36677.360000000001</v>
      </c>
    </row>
    <row r="116" spans="2:3">
      <c r="B116" s="156">
        <v>46147</v>
      </c>
      <c r="C116" s="157">
        <v>36227.97</v>
      </c>
    </row>
    <row r="117" spans="2:3">
      <c r="B117" s="156">
        <v>46146</v>
      </c>
      <c r="C117" s="157">
        <v>36358.33</v>
      </c>
    </row>
    <row r="118" spans="2:3">
      <c r="B118" s="156">
        <v>46142</v>
      </c>
      <c r="C118" s="157">
        <v>36174.800000000003</v>
      </c>
    </row>
    <row r="119" spans="2:3">
      <c r="B119" s="156">
        <v>46141</v>
      </c>
      <c r="C119" s="157">
        <v>36446.26</v>
      </c>
    </row>
    <row r="120" spans="2:3">
      <c r="B120" s="156">
        <v>46140</v>
      </c>
      <c r="C120" s="157">
        <v>36172.04</v>
      </c>
    </row>
    <row r="121" spans="2:3">
      <c r="B121" s="156">
        <v>46139</v>
      </c>
      <c r="C121" s="157">
        <v>36318.25</v>
      </c>
    </row>
    <row r="122" spans="2:3">
      <c r="B122" s="156">
        <v>46136</v>
      </c>
      <c r="C122" s="157">
        <v>36024.639999999999</v>
      </c>
    </row>
    <row r="123" spans="2:3">
      <c r="B123" s="156">
        <v>46135</v>
      </c>
      <c r="C123" s="157">
        <v>36430.959999999999</v>
      </c>
    </row>
    <row r="124" spans="2:3">
      <c r="B124" s="156">
        <v>46134</v>
      </c>
      <c r="C124" s="157">
        <v>36739.93</v>
      </c>
    </row>
    <row r="125" spans="2:3">
      <c r="B125" s="156">
        <v>46133</v>
      </c>
      <c r="C125" s="157">
        <v>37039.120000000003</v>
      </c>
    </row>
    <row r="126" spans="2:3">
      <c r="B126" s="156">
        <v>46132</v>
      </c>
      <c r="C126" s="157">
        <v>36719.99</v>
      </c>
    </row>
    <row r="127" spans="2:3">
      <c r="B127" s="156">
        <v>46129</v>
      </c>
      <c r="C127" s="157">
        <v>36702.93</v>
      </c>
    </row>
    <row r="128" spans="2:3">
      <c r="B128" s="156">
        <v>46128</v>
      </c>
      <c r="C128" s="157">
        <v>36466.620000000003</v>
      </c>
    </row>
    <row r="129" spans="2:3">
      <c r="B129" s="156">
        <v>46127</v>
      </c>
      <c r="C129" s="157">
        <v>36518.69</v>
      </c>
    </row>
    <row r="130" spans="2:3">
      <c r="B130" s="156">
        <v>46125</v>
      </c>
      <c r="C130" s="157">
        <v>35932.959999999999</v>
      </c>
    </row>
    <row r="131" spans="2:3">
      <c r="B131" s="156">
        <v>46122</v>
      </c>
      <c r="C131" s="157">
        <v>36246.400000000001</v>
      </c>
    </row>
    <row r="132" spans="2:3">
      <c r="B132" s="156">
        <v>46121</v>
      </c>
      <c r="C132" s="157">
        <v>35831.22</v>
      </c>
    </row>
    <row r="133" spans="2:3">
      <c r="B133" s="156">
        <v>46120</v>
      </c>
      <c r="C133" s="157">
        <v>36166.14</v>
      </c>
    </row>
    <row r="134" spans="2:3">
      <c r="B134" s="156">
        <v>46119</v>
      </c>
      <c r="C134" s="157">
        <v>34849.410000000003</v>
      </c>
    </row>
    <row r="135" spans="2:3">
      <c r="B135" s="156">
        <v>46118</v>
      </c>
      <c r="C135" s="157">
        <v>34615.19</v>
      </c>
    </row>
    <row r="136" spans="2:3">
      <c r="B136" s="156">
        <v>46114</v>
      </c>
      <c r="C136" s="157">
        <v>34230.629999999997</v>
      </c>
    </row>
    <row r="137" spans="2:3">
      <c r="B137" s="156">
        <v>46113</v>
      </c>
      <c r="C137" s="157">
        <v>34179.9</v>
      </c>
    </row>
    <row r="138" spans="2:3">
      <c r="B138" s="156">
        <v>46111</v>
      </c>
      <c r="C138" s="157">
        <v>33655.43</v>
      </c>
    </row>
    <row r="139" spans="2:3">
      <c r="B139" s="156">
        <v>46108</v>
      </c>
      <c r="C139" s="157">
        <v>34391.129999999997</v>
      </c>
    </row>
    <row r="140" spans="2:3">
      <c r="B140" s="156">
        <v>46106</v>
      </c>
      <c r="C140" s="157">
        <v>35124.870000000003</v>
      </c>
    </row>
    <row r="141" spans="2:3">
      <c r="B141" s="156">
        <v>46105</v>
      </c>
      <c r="C141" s="157">
        <v>34530.99</v>
      </c>
    </row>
    <row r="142" spans="2:3">
      <c r="B142" s="156">
        <v>46104</v>
      </c>
      <c r="C142" s="157">
        <v>33928.589999999997</v>
      </c>
    </row>
    <row r="143" spans="2:3">
      <c r="B143" s="156">
        <v>46101</v>
      </c>
      <c r="C143" s="157">
        <v>34835.629999999997</v>
      </c>
    </row>
    <row r="144" spans="2:3">
      <c r="B144" s="156">
        <v>46100</v>
      </c>
      <c r="C144" s="157">
        <v>34666.28</v>
      </c>
    </row>
    <row r="145" spans="2:3">
      <c r="B145" s="156">
        <v>46099</v>
      </c>
      <c r="C145" s="157">
        <v>35835.24</v>
      </c>
    </row>
    <row r="146" spans="2:3">
      <c r="B146" s="156">
        <v>46098</v>
      </c>
      <c r="C146" s="157">
        <v>35538.92</v>
      </c>
    </row>
    <row r="147" spans="2:3">
      <c r="B147" s="156">
        <v>46097</v>
      </c>
      <c r="C147" s="157">
        <v>35279.17</v>
      </c>
    </row>
    <row r="148" spans="2:3">
      <c r="B148" s="156">
        <v>46094</v>
      </c>
      <c r="C148" s="157">
        <v>34890.78</v>
      </c>
    </row>
    <row r="149" spans="2:3">
      <c r="B149" s="156">
        <v>46093</v>
      </c>
      <c r="C149" s="157">
        <v>35626.269999999997</v>
      </c>
    </row>
    <row r="150" spans="2:3">
      <c r="B150" s="156">
        <v>46092</v>
      </c>
      <c r="C150" s="157">
        <v>35969.449999999997</v>
      </c>
    </row>
    <row r="151" spans="2:3">
      <c r="B151" s="156">
        <v>46091</v>
      </c>
      <c r="C151" s="157">
        <v>36564.400000000001</v>
      </c>
    </row>
    <row r="152" spans="2:3">
      <c r="B152" s="156">
        <v>46090</v>
      </c>
      <c r="C152" s="157">
        <v>36212.400000000001</v>
      </c>
    </row>
    <row r="153" spans="2:3">
      <c r="B153" s="156">
        <v>46087</v>
      </c>
      <c r="C153" s="157">
        <v>36848.97</v>
      </c>
    </row>
    <row r="154" spans="2:3">
      <c r="B154" s="156">
        <v>46086</v>
      </c>
      <c r="C154" s="157">
        <v>37321.660000000003</v>
      </c>
    </row>
    <row r="155" spans="2:3">
      <c r="B155" s="156">
        <v>46085</v>
      </c>
      <c r="C155" s="157">
        <v>36891.56</v>
      </c>
    </row>
    <row r="156" spans="2:3">
      <c r="B156" s="156">
        <v>46083</v>
      </c>
      <c r="C156" s="157">
        <v>37472.06</v>
      </c>
    </row>
    <row r="157" spans="2:3">
      <c r="B157" s="156">
        <v>46080</v>
      </c>
      <c r="C157" s="157">
        <v>37943.67</v>
      </c>
    </row>
    <row r="158" spans="2:3">
      <c r="B158" s="156">
        <v>46079</v>
      </c>
      <c r="C158" s="157">
        <v>38422.720000000001</v>
      </c>
    </row>
    <row r="159" spans="2:3">
      <c r="B159" s="156">
        <v>46078</v>
      </c>
      <c r="C159" s="157">
        <v>38401.58</v>
      </c>
    </row>
    <row r="160" spans="2:3">
      <c r="B160" s="156">
        <v>46077</v>
      </c>
      <c r="C160" s="157">
        <v>38314.370000000003</v>
      </c>
    </row>
    <row r="161" spans="2:3">
      <c r="B161" s="156">
        <v>46076</v>
      </c>
      <c r="C161" s="157">
        <v>38748.94</v>
      </c>
    </row>
    <row r="162" spans="2:3">
      <c r="B162" s="156">
        <v>46073</v>
      </c>
      <c r="C162" s="157">
        <v>38535.31</v>
      </c>
    </row>
    <row r="163" spans="2:3">
      <c r="B163" s="156">
        <v>46072</v>
      </c>
      <c r="C163" s="157">
        <v>38359.129999999997</v>
      </c>
    </row>
    <row r="164" spans="2:3">
      <c r="B164" s="156">
        <v>46071</v>
      </c>
      <c r="C164" s="157">
        <v>38909.22</v>
      </c>
    </row>
    <row r="165" spans="2:3">
      <c r="B165" s="156">
        <v>46070</v>
      </c>
      <c r="C165" s="157">
        <v>38763.5</v>
      </c>
    </row>
    <row r="166" spans="2:3">
      <c r="B166" s="156">
        <v>46069</v>
      </c>
      <c r="C166" s="157">
        <v>38699.22</v>
      </c>
    </row>
    <row r="167" spans="2:3">
      <c r="B167" s="156">
        <v>46066</v>
      </c>
      <c r="C167" s="157">
        <v>38379.949999999997</v>
      </c>
    </row>
    <row r="168" spans="2:3">
      <c r="B168" s="156">
        <v>46065</v>
      </c>
      <c r="C168" s="157">
        <v>38886.410000000003</v>
      </c>
    </row>
    <row r="169" spans="2:3">
      <c r="B169" s="156">
        <v>46064</v>
      </c>
      <c r="C169" s="157">
        <v>39107.4</v>
      </c>
    </row>
    <row r="170" spans="2:3">
      <c r="B170" s="156">
        <v>46063</v>
      </c>
      <c r="C170" s="157">
        <v>39079.22</v>
      </c>
    </row>
    <row r="171" spans="2:3">
      <c r="B171" s="156">
        <v>46062</v>
      </c>
      <c r="C171" s="157">
        <v>38976.99</v>
      </c>
    </row>
    <row r="172" spans="2:3">
      <c r="B172" s="156">
        <v>46059</v>
      </c>
      <c r="C172" s="157">
        <v>38710.58</v>
      </c>
    </row>
    <row r="173" spans="2:3">
      <c r="B173" s="156">
        <v>46058</v>
      </c>
      <c r="C173" s="157">
        <v>38627.94</v>
      </c>
    </row>
    <row r="174" spans="2:3">
      <c r="B174" s="156">
        <v>46057</v>
      </c>
      <c r="C174" s="157">
        <v>38824.69</v>
      </c>
    </row>
    <row r="175" spans="2:3">
      <c r="B175" s="156">
        <v>46056</v>
      </c>
      <c r="C175" s="157">
        <v>38751.71</v>
      </c>
    </row>
    <row r="176" spans="2:3">
      <c r="B176" s="156">
        <v>46055</v>
      </c>
      <c r="C176" s="157">
        <v>37789</v>
      </c>
    </row>
    <row r="177" spans="2:3">
      <c r="B177" s="156">
        <v>46054</v>
      </c>
      <c r="C177" s="157">
        <v>37392.92</v>
      </c>
    </row>
    <row r="178" spans="2:3">
      <c r="B178" s="156">
        <v>46052</v>
      </c>
      <c r="C178" s="157">
        <v>38138.83</v>
      </c>
    </row>
    <row r="179" spans="2:3">
      <c r="B179" s="156">
        <v>46051</v>
      </c>
      <c r="C179" s="157">
        <v>38286.86</v>
      </c>
    </row>
    <row r="180" spans="2:3">
      <c r="B180" s="156">
        <v>46050</v>
      </c>
      <c r="C180" s="157">
        <v>38172.11</v>
      </c>
    </row>
    <row r="181" spans="2:3">
      <c r="B181" s="156">
        <v>46049</v>
      </c>
      <c r="C181" s="157">
        <v>37920.03</v>
      </c>
    </row>
    <row r="182" spans="2:3">
      <c r="B182" s="156">
        <v>46045</v>
      </c>
      <c r="C182" s="157">
        <v>37729.14</v>
      </c>
    </row>
    <row r="183" spans="2:3">
      <c r="B183" s="156">
        <v>46044</v>
      </c>
      <c r="C183" s="157">
        <v>38092.550000000003</v>
      </c>
    </row>
    <row r="184" spans="2:3">
      <c r="B184" s="156">
        <v>46042</v>
      </c>
      <c r="C184" s="157">
        <v>38006.050000000003</v>
      </c>
    </row>
    <row r="185" spans="2:3">
      <c r="B185" s="156">
        <v>46041</v>
      </c>
      <c r="C185" s="157">
        <v>38537.78</v>
      </c>
    </row>
    <row r="186" spans="2:3">
      <c r="B186" s="156">
        <v>46038</v>
      </c>
      <c r="C186" s="157">
        <v>38701.71</v>
      </c>
    </row>
    <row r="187" spans="2:3">
      <c r="B187" s="156">
        <v>46036</v>
      </c>
      <c r="C187" s="157">
        <v>38635.050000000003</v>
      </c>
    </row>
    <row r="188" spans="2:3">
      <c r="B188" s="156">
        <v>46035</v>
      </c>
      <c r="C188" s="157">
        <v>38735.47</v>
      </c>
    </row>
    <row r="189" spans="2:3">
      <c r="B189" s="156">
        <v>46034</v>
      </c>
      <c r="C189" s="157">
        <v>38822.720000000001</v>
      </c>
    </row>
    <row r="190" spans="2:3">
      <c r="B190" s="156">
        <v>46031</v>
      </c>
      <c r="C190" s="157">
        <v>38661.67</v>
      </c>
    </row>
    <row r="191" spans="2:3">
      <c r="B191" s="156">
        <v>46030</v>
      </c>
      <c r="C191" s="157">
        <v>38953.08</v>
      </c>
    </row>
    <row r="192" spans="2:3">
      <c r="B192" s="156">
        <v>46029</v>
      </c>
      <c r="C192" s="157">
        <v>39350.28</v>
      </c>
    </row>
    <row r="193" spans="2:3">
      <c r="B193" s="156">
        <v>46028</v>
      </c>
      <c r="C193" s="157">
        <v>39407.42</v>
      </c>
    </row>
    <row r="194" spans="2:3">
      <c r="B194" s="156">
        <v>46027</v>
      </c>
      <c r="C194" s="157">
        <v>39515.230000000003</v>
      </c>
    </row>
    <row r="195" spans="2:3">
      <c r="B195" s="156">
        <v>46024</v>
      </c>
      <c r="C195" s="157">
        <v>39632.99</v>
      </c>
    </row>
    <row r="196" spans="2:3">
      <c r="B196" s="156">
        <v>46023</v>
      </c>
      <c r="C196" s="157">
        <v>39359.019999999997</v>
      </c>
    </row>
    <row r="197" spans="2:3">
      <c r="B197" s="156">
        <v>46022</v>
      </c>
      <c r="C197" s="157">
        <v>39333.550000000003</v>
      </c>
    </row>
    <row r="198" spans="2:3">
      <c r="B198" s="156">
        <v>46021</v>
      </c>
      <c r="C198" s="157">
        <v>39046.400000000001</v>
      </c>
    </row>
    <row r="199" spans="2:3">
      <c r="B199" s="156">
        <v>46020</v>
      </c>
      <c r="C199" s="157">
        <v>39051.24</v>
      </c>
    </row>
    <row r="200" spans="2:3">
      <c r="B200" s="156">
        <v>46017</v>
      </c>
      <c r="C200" s="157">
        <v>39202.11</v>
      </c>
    </row>
    <row r="201" spans="2:3">
      <c r="B201" s="156">
        <v>46015</v>
      </c>
      <c r="C201" s="157">
        <v>39352.35</v>
      </c>
    </row>
    <row r="202" spans="2:3">
      <c r="B202" s="156">
        <v>46014</v>
      </c>
      <c r="C202" s="157">
        <v>39405.1</v>
      </c>
    </row>
    <row r="203" spans="2:3">
      <c r="B203" s="156">
        <v>46013</v>
      </c>
      <c r="C203" s="157">
        <v>39397.94</v>
      </c>
    </row>
    <row r="204" spans="2:3">
      <c r="B204" s="156">
        <v>46010</v>
      </c>
      <c r="C204" s="157">
        <v>39087.879999999997</v>
      </c>
    </row>
    <row r="205" spans="2:3">
      <c r="B205" s="156">
        <v>46009</v>
      </c>
      <c r="C205" s="157">
        <v>38860.78</v>
      </c>
    </row>
    <row r="206" spans="2:3">
      <c r="B206" s="156">
        <v>46008</v>
      </c>
      <c r="C206" s="157">
        <v>38865.29</v>
      </c>
    </row>
    <row r="207" spans="2:3">
      <c r="B207" s="156">
        <v>46007</v>
      </c>
      <c r="C207" s="157">
        <v>38927.870000000003</v>
      </c>
    </row>
    <row r="208" spans="2:3">
      <c r="B208" s="156">
        <v>46006</v>
      </c>
      <c r="C208" s="157">
        <v>39179.54</v>
      </c>
    </row>
    <row r="209" spans="2:3">
      <c r="B209" s="156">
        <v>46003</v>
      </c>
      <c r="C209" s="157">
        <v>39209.120000000003</v>
      </c>
    </row>
    <row r="210" spans="2:3">
      <c r="B210" s="156">
        <v>46002</v>
      </c>
      <c r="C210" s="157">
        <v>38985.75</v>
      </c>
    </row>
    <row r="211" spans="2:3">
      <c r="B211" s="156">
        <v>46001</v>
      </c>
      <c r="C211" s="157">
        <v>38774.129999999997</v>
      </c>
    </row>
    <row r="212" spans="2:3">
      <c r="B212" s="156">
        <v>46000</v>
      </c>
      <c r="C212" s="157">
        <v>38897.019999999997</v>
      </c>
    </row>
    <row r="213" spans="2:3">
      <c r="B213" s="156">
        <v>45999</v>
      </c>
      <c r="C213" s="157">
        <v>39079.019999999997</v>
      </c>
    </row>
    <row r="214" spans="2:3">
      <c r="B214" s="156">
        <v>45996</v>
      </c>
      <c r="C214" s="157">
        <v>39419.07</v>
      </c>
    </row>
    <row r="215" spans="2:3">
      <c r="B215" s="156">
        <v>45995</v>
      </c>
      <c r="C215" s="157">
        <v>39189.269999999997</v>
      </c>
    </row>
    <row r="216" spans="2:3">
      <c r="B216" s="156">
        <v>45994</v>
      </c>
      <c r="C216" s="157">
        <v>39117.33</v>
      </c>
    </row>
    <row r="217" spans="2:3">
      <c r="B217" s="156">
        <v>45993</v>
      </c>
      <c r="C217" s="157">
        <v>39186.92</v>
      </c>
    </row>
    <row r="218" spans="2:3">
      <c r="B218" s="156">
        <v>45992</v>
      </c>
      <c r="C218" s="157">
        <v>39403.019999999997</v>
      </c>
    </row>
    <row r="219" spans="2:3">
      <c r="B219" s="156">
        <v>45989</v>
      </c>
      <c r="C219" s="157">
        <v>39443.910000000003</v>
      </c>
    </row>
    <row r="220" spans="2:3">
      <c r="B220" s="156">
        <v>45988</v>
      </c>
      <c r="C220" s="157">
        <v>39462.93</v>
      </c>
    </row>
    <row r="221" spans="2:3">
      <c r="B221" s="156">
        <v>45987</v>
      </c>
      <c r="C221" s="157">
        <v>39447.49</v>
      </c>
    </row>
    <row r="222" spans="2:3">
      <c r="B222" s="156">
        <v>45986</v>
      </c>
      <c r="C222" s="157">
        <v>38965</v>
      </c>
    </row>
    <row r="223" spans="2:3">
      <c r="B223" s="156">
        <v>45985</v>
      </c>
      <c r="C223" s="157">
        <v>39077.5</v>
      </c>
    </row>
    <row r="224" spans="2:3">
      <c r="B224" s="156">
        <v>45982</v>
      </c>
      <c r="C224" s="157">
        <v>39241</v>
      </c>
    </row>
    <row r="225" spans="2:3">
      <c r="B225" s="156">
        <v>45981</v>
      </c>
      <c r="C225" s="157">
        <v>39427.65</v>
      </c>
    </row>
    <row r="226" spans="2:3">
      <c r="B226" s="156">
        <v>45980</v>
      </c>
      <c r="C226" s="157">
        <v>39217.69</v>
      </c>
    </row>
    <row r="227" spans="2:3">
      <c r="B227" s="156">
        <v>45979</v>
      </c>
      <c r="C227" s="157">
        <v>39003.01</v>
      </c>
    </row>
    <row r="228" spans="2:3">
      <c r="B228" s="156">
        <v>45978</v>
      </c>
      <c r="C228" s="157">
        <v>39157.99</v>
      </c>
    </row>
    <row r="229" spans="2:3">
      <c r="B229" s="156">
        <v>45975</v>
      </c>
      <c r="C229" s="157">
        <v>39002.370000000003</v>
      </c>
    </row>
    <row r="230" spans="2:3">
      <c r="B230" s="156">
        <v>45974</v>
      </c>
      <c r="C230" s="157">
        <v>38955.83</v>
      </c>
    </row>
    <row r="231" spans="2:3">
      <c r="B231" s="156">
        <v>45973</v>
      </c>
      <c r="C231" s="157">
        <v>38950.78</v>
      </c>
    </row>
    <row r="232" spans="2:3">
      <c r="B232" s="156">
        <v>45972</v>
      </c>
      <c r="C232" s="157">
        <v>38678.54</v>
      </c>
    </row>
    <row r="233" spans="2:3">
      <c r="B233" s="156">
        <v>45971</v>
      </c>
      <c r="C233" s="157">
        <v>38497.01</v>
      </c>
    </row>
    <row r="234" spans="2:3">
      <c r="B234" s="156">
        <v>45968</v>
      </c>
      <c r="C234" s="157">
        <v>38366.879999999997</v>
      </c>
    </row>
    <row r="235" spans="2:3">
      <c r="B235" s="156">
        <v>45967</v>
      </c>
      <c r="C235" s="157">
        <v>38381.019999999997</v>
      </c>
    </row>
    <row r="236" spans="2:3">
      <c r="B236" s="156">
        <v>45965</v>
      </c>
      <c r="C236" s="157">
        <v>38513.370000000003</v>
      </c>
    </row>
    <row r="237" spans="2:3">
      <c r="B237" s="156">
        <v>45964</v>
      </c>
      <c r="C237" s="157">
        <v>38762.65</v>
      </c>
    </row>
    <row r="238" spans="2:3">
      <c r="B238" s="156">
        <v>45961</v>
      </c>
      <c r="C238" s="157">
        <v>38700.6</v>
      </c>
    </row>
    <row r="239" spans="2:3">
      <c r="B239" s="156">
        <v>45960</v>
      </c>
      <c r="C239" s="157">
        <v>38934.92</v>
      </c>
    </row>
    <row r="240" spans="2:3">
      <c r="B240" s="156">
        <v>45959</v>
      </c>
      <c r="C240" s="157">
        <v>39199.800000000003</v>
      </c>
    </row>
    <row r="241" spans="2:3">
      <c r="B241" s="156">
        <v>45958</v>
      </c>
      <c r="C241" s="157">
        <v>39022.730000000003</v>
      </c>
    </row>
    <row r="242" spans="2:3">
      <c r="B242" s="156">
        <v>45957</v>
      </c>
      <c r="C242" s="157">
        <v>39067.589999999997</v>
      </c>
    </row>
    <row r="243" spans="2:3">
      <c r="B243" s="156">
        <v>45954</v>
      </c>
      <c r="C243" s="157">
        <v>38783.54</v>
      </c>
    </row>
    <row r="244" spans="2:3">
      <c r="B244" s="156">
        <v>45953</v>
      </c>
      <c r="C244" s="157">
        <v>38928.230000000003</v>
      </c>
    </row>
    <row r="245" spans="2:3">
      <c r="B245" s="156">
        <v>45951</v>
      </c>
      <c r="C245" s="157">
        <v>38893.949999999997</v>
      </c>
    </row>
    <row r="246" spans="2:3">
      <c r="B246" s="156">
        <v>45950</v>
      </c>
      <c r="C246" s="157">
        <v>38855.68</v>
      </c>
    </row>
    <row r="247" spans="2:3">
      <c r="B247" s="156">
        <v>45947</v>
      </c>
      <c r="C247" s="157">
        <v>38652.19</v>
      </c>
    </row>
    <row r="248" spans="2:3">
      <c r="B248" s="156">
        <v>45946</v>
      </c>
      <c r="C248" s="157">
        <v>38460.730000000003</v>
      </c>
    </row>
    <row r="249" spans="2:3">
      <c r="B249" s="156">
        <v>45945</v>
      </c>
      <c r="C249" s="157">
        <v>38067.31</v>
      </c>
    </row>
    <row r="250" spans="2:3">
      <c r="B250" s="156">
        <v>45944</v>
      </c>
      <c r="C250" s="157">
        <v>37795.97</v>
      </c>
    </row>
    <row r="251" spans="2:3">
      <c r="B251" s="156">
        <v>45940</v>
      </c>
      <c r="C251" s="157">
        <v>38006.18</v>
      </c>
    </row>
    <row r="252" spans="2:3">
      <c r="B252" s="156">
        <v>45939</v>
      </c>
      <c r="C252" s="157">
        <v>37850.519999999997</v>
      </c>
    </row>
    <row r="253" spans="2:3">
      <c r="B253" s="156">
        <v>45938</v>
      </c>
      <c r="C253" s="157">
        <v>37646.65</v>
      </c>
    </row>
    <row r="254" spans="2:3">
      <c r="B254" s="156">
        <v>45937</v>
      </c>
      <c r="C254" s="157">
        <v>37740.1</v>
      </c>
    </row>
    <row r="255" spans="2:3">
      <c r="B255" s="156">
        <v>45936</v>
      </c>
      <c r="C255" s="157">
        <v>37694.019999999997</v>
      </c>
    </row>
    <row r="256" spans="2:3">
      <c r="B256" s="156">
        <v>45933</v>
      </c>
      <c r="C256" s="157">
        <v>37418.300000000003</v>
      </c>
    </row>
    <row r="257" spans="2:3">
      <c r="B257" s="156">
        <v>45931</v>
      </c>
      <c r="C257" s="157">
        <v>37331.199999999997</v>
      </c>
    </row>
    <row r="258" spans="2:3">
      <c r="B258" s="156">
        <v>45930</v>
      </c>
      <c r="C258" s="157">
        <v>36992.699999999997</v>
      </c>
    </row>
    <row r="259" spans="2:3">
      <c r="B259" s="156">
        <v>45929</v>
      </c>
      <c r="C259" s="157">
        <v>37028.480000000003</v>
      </c>
    </row>
    <row r="260" spans="2:3">
      <c r="B260" s="156">
        <v>45926</v>
      </c>
      <c r="C260" s="157">
        <v>37058.300000000003</v>
      </c>
    </row>
    <row r="261" spans="2:3">
      <c r="B261" s="156">
        <v>45925</v>
      </c>
      <c r="C261" s="157">
        <v>37413.25</v>
      </c>
    </row>
    <row r="262" spans="2:3">
      <c r="B262" s="156">
        <v>45924</v>
      </c>
      <c r="C262" s="157">
        <v>37662.839999999997</v>
      </c>
    </row>
    <row r="263" spans="2:3">
      <c r="B263" s="156">
        <v>45923</v>
      </c>
      <c r="C263" s="157">
        <v>37832.089999999997</v>
      </c>
    </row>
    <row r="264" spans="2:3">
      <c r="B264" s="156">
        <v>45922</v>
      </c>
      <c r="C264" s="157">
        <v>37881.410000000003</v>
      </c>
    </row>
    <row r="265" spans="2:3">
      <c r="B265" s="156">
        <v>45919</v>
      </c>
      <c r="C265" s="157">
        <v>38068.839999999997</v>
      </c>
    </row>
    <row r="266" spans="2:3">
      <c r="B266" s="156">
        <v>45918</v>
      </c>
      <c r="C266" s="157">
        <v>38213.97</v>
      </c>
    </row>
    <row r="267" spans="2:3">
      <c r="B267" s="156">
        <v>45917</v>
      </c>
      <c r="C267" s="157">
        <v>38073.65</v>
      </c>
    </row>
    <row r="268" spans="2:3">
      <c r="B268" s="156">
        <v>45916</v>
      </c>
      <c r="C268" s="157">
        <v>37936.660000000003</v>
      </c>
    </row>
    <row r="269" spans="2:3">
      <c r="B269" s="156">
        <v>45915</v>
      </c>
      <c r="C269" s="157">
        <v>37681.33</v>
      </c>
    </row>
    <row r="270" spans="2:3">
      <c r="B270" s="156">
        <v>45912</v>
      </c>
      <c r="C270" s="157">
        <v>37748.61</v>
      </c>
    </row>
    <row r="271" spans="2:3">
      <c r="B271" s="156">
        <v>45911</v>
      </c>
      <c r="C271" s="157">
        <v>37585.519999999997</v>
      </c>
    </row>
    <row r="272" spans="2:3">
      <c r="B272" s="156">
        <v>45910</v>
      </c>
      <c r="C272" s="157">
        <v>37536.879999999997</v>
      </c>
    </row>
    <row r="273" spans="2:3">
      <c r="B273" s="156">
        <v>45909</v>
      </c>
      <c r="C273" s="157">
        <v>37379.78</v>
      </c>
    </row>
    <row r="274" spans="2:3">
      <c r="B274" s="156">
        <v>45908</v>
      </c>
      <c r="C274" s="157">
        <v>37236.28</v>
      </c>
    </row>
    <row r="275" spans="2:3">
      <c r="B275" s="156">
        <v>45905</v>
      </c>
      <c r="C275" s="157">
        <v>37188.019999999997</v>
      </c>
    </row>
    <row r="276" spans="2:3">
      <c r="B276" s="156">
        <v>45904</v>
      </c>
      <c r="C276" s="157">
        <v>37177.94</v>
      </c>
    </row>
    <row r="277" spans="2:3">
      <c r="B277" s="156">
        <v>45903</v>
      </c>
      <c r="C277" s="157">
        <v>37142.11</v>
      </c>
    </row>
    <row r="278" spans="2:3">
      <c r="B278" s="156">
        <v>45902</v>
      </c>
      <c r="C278" s="157">
        <v>36938.57</v>
      </c>
    </row>
    <row r="279" spans="2:3">
      <c r="B279" s="156">
        <v>45901</v>
      </c>
      <c r="C279" s="157">
        <v>37006.870000000003</v>
      </c>
    </row>
    <row r="280" spans="2:3">
      <c r="B280" s="156">
        <v>45898</v>
      </c>
      <c r="C280" s="157">
        <v>36709</v>
      </c>
    </row>
    <row r="281" spans="2:3">
      <c r="B281" s="156">
        <v>45897</v>
      </c>
      <c r="C281" s="157">
        <v>36820.25</v>
      </c>
    </row>
    <row r="282" spans="2:3">
      <c r="B282" s="156">
        <v>45895</v>
      </c>
      <c r="C282" s="157">
        <v>37137.57</v>
      </c>
    </row>
    <row r="283" spans="2:3">
      <c r="B283" s="156">
        <v>45894</v>
      </c>
      <c r="C283" s="157">
        <v>37521.9</v>
      </c>
    </row>
    <row r="284" spans="2:3">
      <c r="B284" s="156">
        <v>45891</v>
      </c>
      <c r="C284" s="157">
        <v>37375.089999999997</v>
      </c>
    </row>
    <row r="285" spans="2:3">
      <c r="B285" s="156">
        <v>45890</v>
      </c>
      <c r="C285" s="157">
        <v>37696.230000000003</v>
      </c>
    </row>
    <row r="286" spans="2:3">
      <c r="B286" s="156">
        <v>45889</v>
      </c>
      <c r="C286" s="157">
        <v>37642.410000000003</v>
      </c>
    </row>
    <row r="287" spans="2:3">
      <c r="B287" s="156">
        <v>45888</v>
      </c>
      <c r="C287" s="157">
        <v>37537.42</v>
      </c>
    </row>
    <row r="288" spans="2:3">
      <c r="B288" s="156">
        <v>45887</v>
      </c>
      <c r="C288" s="157">
        <v>37379.379999999997</v>
      </c>
    </row>
    <row r="289" spans="2:3">
      <c r="B289" s="156">
        <v>45883</v>
      </c>
      <c r="C289" s="157">
        <v>37010.269999999997</v>
      </c>
    </row>
    <row r="290" spans="2:3">
      <c r="B290" s="156">
        <v>45882</v>
      </c>
      <c r="C290" s="157">
        <v>36978.89</v>
      </c>
    </row>
    <row r="291" spans="2:3">
      <c r="B291" s="156">
        <v>45881</v>
      </c>
      <c r="C291" s="157">
        <v>36780.730000000003</v>
      </c>
    </row>
    <row r="292" spans="2:3">
      <c r="B292" s="156">
        <v>45880</v>
      </c>
      <c r="C292" s="157">
        <v>36900.03</v>
      </c>
    </row>
    <row r="293" spans="2:3">
      <c r="B293" s="156">
        <v>45877</v>
      </c>
      <c r="C293" s="157">
        <v>36566.629999999997</v>
      </c>
    </row>
    <row r="294" spans="2:3">
      <c r="B294" s="156">
        <v>45876</v>
      </c>
      <c r="C294" s="157">
        <v>36913.760000000002</v>
      </c>
    </row>
    <row r="295" spans="2:3">
      <c r="B295" s="156">
        <v>45875</v>
      </c>
      <c r="C295" s="157">
        <v>36880.81</v>
      </c>
    </row>
    <row r="296" spans="2:3">
      <c r="B296" s="156">
        <v>45874</v>
      </c>
      <c r="C296" s="157">
        <v>36989.75</v>
      </c>
    </row>
    <row r="297" spans="2:3">
      <c r="B297" s="156">
        <v>45873</v>
      </c>
      <c r="C297" s="157">
        <v>37099.550000000003</v>
      </c>
    </row>
    <row r="298" spans="2:3">
      <c r="B298" s="156">
        <v>45870</v>
      </c>
      <c r="C298" s="157">
        <v>36863.4</v>
      </c>
    </row>
    <row r="299" spans="2:3">
      <c r="B299" s="156">
        <v>45869</v>
      </c>
      <c r="C299" s="157">
        <v>37158.879999999997</v>
      </c>
    </row>
    <row r="300" spans="2:3">
      <c r="B300" s="156">
        <v>45868</v>
      </c>
      <c r="C300" s="157">
        <v>37288.94</v>
      </c>
    </row>
    <row r="301" spans="2:3">
      <c r="B301" s="156">
        <v>45867</v>
      </c>
      <c r="C301" s="157">
        <v>37238.03</v>
      </c>
    </row>
    <row r="302" spans="2:3">
      <c r="B302" s="156">
        <v>45866</v>
      </c>
      <c r="C302" s="157">
        <v>37027.65</v>
      </c>
    </row>
    <row r="303" spans="2:3">
      <c r="B303" s="156">
        <v>45863</v>
      </c>
      <c r="C303" s="157">
        <v>37257.14</v>
      </c>
    </row>
    <row r="304" spans="2:3">
      <c r="B304" s="156">
        <v>45862</v>
      </c>
      <c r="C304" s="157">
        <v>37578.97</v>
      </c>
    </row>
    <row r="305" spans="2:3">
      <c r="B305" s="156">
        <v>45861</v>
      </c>
      <c r="C305" s="157">
        <v>37812.76</v>
      </c>
    </row>
    <row r="306" spans="2:3">
      <c r="B306" s="156">
        <v>45860</v>
      </c>
      <c r="C306" s="157">
        <v>37574.379999999997</v>
      </c>
    </row>
    <row r="307" spans="2:3">
      <c r="B307" s="156">
        <v>45859</v>
      </c>
      <c r="C307" s="157">
        <v>37619.089999999997</v>
      </c>
    </row>
    <row r="308" spans="2:3">
      <c r="B308" s="156">
        <v>45856</v>
      </c>
      <c r="C308" s="157">
        <v>37435.72</v>
      </c>
    </row>
    <row r="309" spans="2:3">
      <c r="B309" s="156">
        <v>45855</v>
      </c>
      <c r="C309" s="157">
        <v>37630.21</v>
      </c>
    </row>
    <row r="310" spans="2:3">
      <c r="B310" s="156">
        <v>45854</v>
      </c>
      <c r="C310" s="157">
        <v>37780.94</v>
      </c>
    </row>
    <row r="311" spans="2:3">
      <c r="B311" s="156">
        <v>45853</v>
      </c>
      <c r="C311" s="157">
        <v>37752.92</v>
      </c>
    </row>
    <row r="312" spans="2:3">
      <c r="B312" s="156">
        <v>45852</v>
      </c>
      <c r="C312" s="157">
        <v>37582.839999999997</v>
      </c>
    </row>
    <row r="313" spans="2:3">
      <c r="B313" s="156">
        <v>45849</v>
      </c>
      <c r="C313" s="157">
        <v>37684.07</v>
      </c>
    </row>
    <row r="314" spans="2:3">
      <c r="B314" s="156">
        <v>45848</v>
      </c>
      <c r="C314" s="157">
        <v>37990.410000000003</v>
      </c>
    </row>
    <row r="315" spans="2:3">
      <c r="B315" s="156">
        <v>45847</v>
      </c>
      <c r="C315" s="157">
        <v>38169.85</v>
      </c>
    </row>
    <row r="316" spans="2:3">
      <c r="B316" s="156">
        <v>45846</v>
      </c>
      <c r="C316" s="157">
        <v>38239.39</v>
      </c>
    </row>
    <row r="317" spans="2:3">
      <c r="B317" s="156">
        <v>45845</v>
      </c>
      <c r="C317" s="157">
        <v>38145.33</v>
      </c>
    </row>
    <row r="318" spans="2:3">
      <c r="B318" s="156">
        <v>45842</v>
      </c>
      <c r="C318" s="157">
        <v>38142.94</v>
      </c>
    </row>
    <row r="319" spans="2:3">
      <c r="B319" s="156">
        <v>45841</v>
      </c>
      <c r="C319" s="157">
        <v>38049.97</v>
      </c>
    </row>
    <row r="320" spans="2:3">
      <c r="B320" s="156">
        <v>45840</v>
      </c>
      <c r="C320" s="157">
        <v>38121.99</v>
      </c>
    </row>
    <row r="321" spans="2:3">
      <c r="B321" s="156">
        <v>45839</v>
      </c>
      <c r="C321" s="157">
        <v>38254.39</v>
      </c>
    </row>
    <row r="322" spans="2:3">
      <c r="B322" s="156">
        <v>45838</v>
      </c>
      <c r="C322" s="157">
        <v>38217.32</v>
      </c>
    </row>
    <row r="323" spans="2:3">
      <c r="B323" s="156">
        <v>45835</v>
      </c>
      <c r="C323" s="157">
        <v>38398.230000000003</v>
      </c>
    </row>
    <row r="324" spans="2:3">
      <c r="B324" s="156">
        <v>45834</v>
      </c>
      <c r="C324" s="157">
        <v>38206.879999999997</v>
      </c>
    </row>
    <row r="325" spans="2:3">
      <c r="B325" s="156">
        <v>45833</v>
      </c>
      <c r="C325" s="157">
        <v>37751.94</v>
      </c>
    </row>
    <row r="326" spans="2:3">
      <c r="B326" s="156">
        <v>45832</v>
      </c>
      <c r="C326" s="157">
        <v>37452.239999999998</v>
      </c>
    </row>
    <row r="327" spans="2:3">
      <c r="B327" s="156">
        <v>45831</v>
      </c>
      <c r="C327" s="157">
        <v>37343.910000000003</v>
      </c>
    </row>
    <row r="328" spans="2:3">
      <c r="B328" s="156">
        <v>45828</v>
      </c>
      <c r="C328" s="157">
        <v>37546.89</v>
      </c>
    </row>
    <row r="329" spans="2:3">
      <c r="B329" s="156">
        <v>45827</v>
      </c>
      <c r="C329" s="157">
        <v>37069.019999999997</v>
      </c>
    </row>
    <row r="330" spans="2:3">
      <c r="B330" s="156">
        <v>45826</v>
      </c>
      <c r="C330" s="157">
        <v>37097.129999999997</v>
      </c>
    </row>
    <row r="331" spans="2:3">
      <c r="B331" s="156">
        <v>45825</v>
      </c>
      <c r="C331" s="157">
        <v>37158.949999999997</v>
      </c>
    </row>
    <row r="332" spans="2:3">
      <c r="B332" s="156">
        <v>45824</v>
      </c>
      <c r="C332" s="157">
        <v>37298.120000000003</v>
      </c>
    </row>
    <row r="333" spans="2:3">
      <c r="B333" s="156">
        <v>45821</v>
      </c>
      <c r="C333" s="157">
        <v>36957.379999999997</v>
      </c>
    </row>
    <row r="334" spans="2:3">
      <c r="B334" s="156">
        <v>45820</v>
      </c>
      <c r="C334" s="157">
        <v>37209.11</v>
      </c>
    </row>
    <row r="335" spans="2:3">
      <c r="B335" s="156">
        <v>45819</v>
      </c>
      <c r="C335" s="157">
        <v>37587.31</v>
      </c>
    </row>
    <row r="336" spans="2:3">
      <c r="B336" s="156">
        <v>45818</v>
      </c>
      <c r="C336" s="157">
        <v>37531.760000000002</v>
      </c>
    </row>
    <row r="337" spans="2:3">
      <c r="B337" s="156">
        <v>45817</v>
      </c>
      <c r="C337" s="157">
        <v>37527.120000000003</v>
      </c>
    </row>
    <row r="338" spans="2:3">
      <c r="B338" s="156">
        <v>45814</v>
      </c>
      <c r="C338" s="157">
        <v>37377.42</v>
      </c>
    </row>
    <row r="339" spans="2:3">
      <c r="B339" s="156">
        <v>45813</v>
      </c>
      <c r="C339" s="157">
        <v>37000.49</v>
      </c>
    </row>
    <row r="340" spans="2:3">
      <c r="B340" s="156">
        <v>45812</v>
      </c>
      <c r="C340" s="157">
        <v>36805.089999999997</v>
      </c>
    </row>
    <row r="341" spans="2:3">
      <c r="B341" s="156">
        <v>45811</v>
      </c>
      <c r="C341" s="157">
        <v>36674.69</v>
      </c>
    </row>
    <row r="342" spans="2:3">
      <c r="B342" s="156">
        <v>45810</v>
      </c>
      <c r="C342" s="157">
        <v>36921.620000000003</v>
      </c>
    </row>
    <row r="343" spans="2:3">
      <c r="B343" s="156">
        <v>45807</v>
      </c>
      <c r="C343" s="157">
        <v>36972.5</v>
      </c>
    </row>
    <row r="344" spans="2:3">
      <c r="B344" s="156">
        <v>45806</v>
      </c>
      <c r="C344" s="157">
        <v>37066.339999999997</v>
      </c>
    </row>
    <row r="345" spans="2:3">
      <c r="B345" s="156">
        <v>45805</v>
      </c>
      <c r="C345" s="157">
        <v>36943.42</v>
      </c>
    </row>
    <row r="346" spans="2:3">
      <c r="B346" s="156">
        <v>45804</v>
      </c>
      <c r="C346" s="157">
        <v>37029.33</v>
      </c>
    </row>
    <row r="347" spans="2:3">
      <c r="B347" s="156">
        <v>45803</v>
      </c>
      <c r="C347" s="157">
        <v>37290.300000000003</v>
      </c>
    </row>
    <row r="348" spans="2:3">
      <c r="B348" s="156">
        <v>45800</v>
      </c>
      <c r="C348" s="157">
        <v>37069.550000000003</v>
      </c>
    </row>
    <row r="349" spans="2:3">
      <c r="B349" s="156">
        <v>45799</v>
      </c>
      <c r="C349" s="157">
        <v>36706.44</v>
      </c>
    </row>
    <row r="350" spans="2:3">
      <c r="B350" s="156">
        <v>45798</v>
      </c>
      <c r="C350" s="157">
        <v>37010.35</v>
      </c>
    </row>
    <row r="351" spans="2:3">
      <c r="B351" s="156">
        <v>45797</v>
      </c>
      <c r="C351" s="157">
        <v>36817.14</v>
      </c>
    </row>
    <row r="352" spans="2:3">
      <c r="B352" s="156">
        <v>45796</v>
      </c>
      <c r="C352" s="157">
        <v>37207.25</v>
      </c>
    </row>
    <row r="353" spans="2:3">
      <c r="B353" s="156">
        <v>45793</v>
      </c>
      <c r="C353" s="157">
        <v>37318.129999999997</v>
      </c>
    </row>
    <row r="354" spans="2:3">
      <c r="B354" s="156">
        <v>45792</v>
      </c>
      <c r="C354" s="157">
        <v>37361.050000000003</v>
      </c>
    </row>
    <row r="355" spans="2:3">
      <c r="B355" s="156">
        <v>45791</v>
      </c>
      <c r="C355" s="157">
        <v>36771.94</v>
      </c>
    </row>
    <row r="356" spans="2:3">
      <c r="B356" s="156">
        <v>45790</v>
      </c>
      <c r="C356" s="157">
        <v>36639.870000000003</v>
      </c>
    </row>
    <row r="357" spans="2:3">
      <c r="B357" s="156">
        <v>45789</v>
      </c>
      <c r="C357" s="157">
        <v>37156.25</v>
      </c>
    </row>
    <row r="358" spans="2:3">
      <c r="B358" s="156">
        <v>45786</v>
      </c>
      <c r="C358" s="157">
        <v>35789.629999999997</v>
      </c>
    </row>
    <row r="359" spans="2:3">
      <c r="B359" s="156">
        <v>45785</v>
      </c>
      <c r="C359" s="157">
        <v>36184.82</v>
      </c>
    </row>
    <row r="360" spans="2:3">
      <c r="B360" s="156">
        <v>45784</v>
      </c>
      <c r="C360" s="157">
        <v>36394.46</v>
      </c>
    </row>
    <row r="361" spans="2:3">
      <c r="B361" s="156">
        <v>45783</v>
      </c>
      <c r="C361" s="157">
        <v>36342.6</v>
      </c>
    </row>
    <row r="362" spans="2:3">
      <c r="B362" s="156">
        <v>45782</v>
      </c>
      <c r="C362" s="157">
        <v>36464.1</v>
      </c>
    </row>
    <row r="363" spans="2:3">
      <c r="B363" s="156">
        <v>45779</v>
      </c>
      <c r="C363" s="157">
        <v>36293.51</v>
      </c>
    </row>
    <row r="364" spans="2:3">
      <c r="B364" s="156">
        <v>45777</v>
      </c>
      <c r="C364" s="157">
        <v>36274.870000000003</v>
      </c>
    </row>
    <row r="365" spans="2:3">
      <c r="B365" s="156">
        <v>45776</v>
      </c>
      <c r="C365" s="157">
        <v>36277.480000000003</v>
      </c>
    </row>
    <row r="366" spans="2:3">
      <c r="B366" s="156">
        <v>45775</v>
      </c>
      <c r="C366" s="157">
        <v>36266.410000000003</v>
      </c>
    </row>
    <row r="367" spans="2:3">
      <c r="B367" s="156">
        <v>45772</v>
      </c>
      <c r="C367" s="157">
        <v>35829.160000000003</v>
      </c>
    </row>
    <row r="368" spans="2:3">
      <c r="B368" s="156">
        <v>45771</v>
      </c>
      <c r="C368" s="157">
        <v>36138.21</v>
      </c>
    </row>
    <row r="369" spans="2:3">
      <c r="B369" s="156">
        <v>45770</v>
      </c>
      <c r="C369" s="157">
        <v>36260.74</v>
      </c>
    </row>
    <row r="370" spans="2:3">
      <c r="B370" s="156">
        <v>45769</v>
      </c>
      <c r="C370" s="157">
        <v>36019.75</v>
      </c>
    </row>
    <row r="371" spans="2:3">
      <c r="B371" s="156">
        <v>45768</v>
      </c>
      <c r="C371" s="157">
        <v>35957.620000000003</v>
      </c>
    </row>
    <row r="372" spans="2:3">
      <c r="B372" s="156">
        <v>45764</v>
      </c>
      <c r="C372" s="157">
        <v>35549.39</v>
      </c>
    </row>
    <row r="373" spans="2:3">
      <c r="B373" s="156">
        <v>45763</v>
      </c>
      <c r="C373" s="157">
        <v>34931.660000000003</v>
      </c>
    </row>
    <row r="374" spans="2:3">
      <c r="B374" s="156">
        <v>45762</v>
      </c>
      <c r="C374" s="157">
        <v>34769.71</v>
      </c>
    </row>
    <row r="375" spans="2:3">
      <c r="B375" s="156">
        <v>45758</v>
      </c>
      <c r="C375" s="157">
        <v>34024.5</v>
      </c>
    </row>
    <row r="376" spans="2:3">
      <c r="B376" s="156">
        <v>45756</v>
      </c>
      <c r="C376" s="157">
        <v>33384.559999999998</v>
      </c>
    </row>
    <row r="377" spans="2:3">
      <c r="B377" s="156">
        <v>45755</v>
      </c>
      <c r="C377" s="157">
        <v>33588.28</v>
      </c>
    </row>
    <row r="378" spans="2:3">
      <c r="B378" s="156">
        <v>45754</v>
      </c>
      <c r="C378" s="157">
        <v>33030.49</v>
      </c>
    </row>
    <row r="379" spans="2:3">
      <c r="B379" s="156">
        <v>45751</v>
      </c>
      <c r="C379" s="157">
        <v>34137.61</v>
      </c>
    </row>
    <row r="380" spans="2:3">
      <c r="B380" s="156">
        <v>45750</v>
      </c>
      <c r="C380" s="157">
        <v>34652.839999999997</v>
      </c>
    </row>
    <row r="381" spans="2:3">
      <c r="B381" s="156">
        <v>45749</v>
      </c>
      <c r="C381" s="157">
        <v>34775.4</v>
      </c>
    </row>
    <row r="382" spans="2:3">
      <c r="B382" s="156">
        <v>45748</v>
      </c>
      <c r="C382" s="157">
        <v>34527.01</v>
      </c>
    </row>
    <row r="383" spans="2:3">
      <c r="B383" s="156">
        <v>45744</v>
      </c>
      <c r="C383" s="157">
        <v>35054.080000000002</v>
      </c>
    </row>
    <row r="384" spans="2:3">
      <c r="B384" s="156">
        <v>45743</v>
      </c>
      <c r="C384" s="157">
        <v>35162.32</v>
      </c>
    </row>
    <row r="385" spans="2:3">
      <c r="B385" s="156">
        <v>45742</v>
      </c>
      <c r="C385" s="157">
        <v>35005.67</v>
      </c>
    </row>
    <row r="386" spans="2:3">
      <c r="B386" s="156">
        <v>45741</v>
      </c>
      <c r="C386" s="157">
        <v>35276.65</v>
      </c>
    </row>
    <row r="387" spans="2:3">
      <c r="B387" s="156">
        <v>45740</v>
      </c>
      <c r="C387" s="157">
        <v>35261.269999999997</v>
      </c>
    </row>
    <row r="388" spans="2:3">
      <c r="B388" s="156">
        <v>45737</v>
      </c>
      <c r="C388" s="157">
        <v>34802.300000000003</v>
      </c>
    </row>
    <row r="389" spans="2:3">
      <c r="B389" s="156">
        <v>45736</v>
      </c>
      <c r="C389" s="157">
        <v>34564.18</v>
      </c>
    </row>
    <row r="390" spans="2:3">
      <c r="B390" s="156">
        <v>45735</v>
      </c>
      <c r="C390" s="157">
        <v>34142.35</v>
      </c>
    </row>
    <row r="391" spans="2:3">
      <c r="B391" s="156">
        <v>45734</v>
      </c>
      <c r="C391" s="157">
        <v>34033.06</v>
      </c>
    </row>
    <row r="392" spans="2:3">
      <c r="B392" s="156">
        <v>45733</v>
      </c>
      <c r="C392" s="157">
        <v>33547.879999999997</v>
      </c>
    </row>
    <row r="393" spans="2:3">
      <c r="B393" s="156">
        <v>45729</v>
      </c>
      <c r="C393" s="157">
        <v>33381.620000000003</v>
      </c>
    </row>
    <row r="394" spans="2:3">
      <c r="B394" s="156">
        <v>45728</v>
      </c>
      <c r="C394" s="157">
        <v>33490.870000000003</v>
      </c>
    </row>
    <row r="395" spans="2:3">
      <c r="B395" s="156">
        <v>45727</v>
      </c>
      <c r="C395" s="157">
        <v>33531.68</v>
      </c>
    </row>
    <row r="396" spans="2:3">
      <c r="B396" s="156">
        <v>45726</v>
      </c>
      <c r="C396" s="157">
        <v>33473.919999999998</v>
      </c>
    </row>
    <row r="397" spans="2:3">
      <c r="B397" s="156">
        <v>45723</v>
      </c>
      <c r="C397" s="157">
        <v>33611.300000000003</v>
      </c>
    </row>
    <row r="398" spans="2:3">
      <c r="B398" s="156">
        <v>45722</v>
      </c>
      <c r="C398" s="157">
        <v>33599.300000000003</v>
      </c>
    </row>
    <row r="399" spans="2:3">
      <c r="B399" s="156">
        <v>45721</v>
      </c>
      <c r="C399" s="157">
        <v>33290.199999999997</v>
      </c>
    </row>
    <row r="400" spans="2:3">
      <c r="B400" s="156">
        <v>45720</v>
      </c>
      <c r="C400" s="157">
        <v>32910.629999999997</v>
      </c>
    </row>
    <row r="401" spans="2:3">
      <c r="B401" s="156">
        <v>45719</v>
      </c>
      <c r="C401" s="157">
        <v>32965.25</v>
      </c>
    </row>
    <row r="402" spans="2:3">
      <c r="B402" s="156">
        <v>45716</v>
      </c>
      <c r="C402" s="157">
        <v>32973.360000000001</v>
      </c>
    </row>
    <row r="403" spans="2:3">
      <c r="B403" s="156">
        <v>45715</v>
      </c>
      <c r="C403" s="157">
        <v>33599.79</v>
      </c>
    </row>
    <row r="404" spans="2:3">
      <c r="B404" s="156">
        <v>45713</v>
      </c>
      <c r="C404" s="157">
        <v>33603.550000000003</v>
      </c>
    </row>
    <row r="405" spans="2:3">
      <c r="B405" s="156">
        <v>45712</v>
      </c>
      <c r="C405" s="157">
        <v>33612.18</v>
      </c>
    </row>
    <row r="406" spans="2:3">
      <c r="B406" s="156">
        <v>45709</v>
      </c>
      <c r="C406" s="157">
        <v>33973.61</v>
      </c>
    </row>
    <row r="407" spans="2:3">
      <c r="B407" s="156">
        <v>45708</v>
      </c>
      <c r="C407" s="157">
        <v>34148.36</v>
      </c>
    </row>
    <row r="408" spans="2:3">
      <c r="B408" s="156">
        <v>45707</v>
      </c>
      <c r="C408" s="157">
        <v>34177.82</v>
      </c>
    </row>
    <row r="409" spans="2:3">
      <c r="B409" s="156">
        <v>45706</v>
      </c>
      <c r="C409" s="157">
        <v>34196.32</v>
      </c>
    </row>
    <row r="410" spans="2:3">
      <c r="B410" s="156">
        <v>45705</v>
      </c>
      <c r="C410" s="157">
        <v>34217.480000000003</v>
      </c>
    </row>
    <row r="411" spans="2:3">
      <c r="B411" s="156">
        <v>45702</v>
      </c>
      <c r="C411" s="157">
        <v>34172.379999999997</v>
      </c>
    </row>
    <row r="412" spans="2:3">
      <c r="B412" s="156">
        <v>45701</v>
      </c>
      <c r="C412" s="157">
        <v>34324.31</v>
      </c>
    </row>
    <row r="413" spans="2:3">
      <c r="B413" s="156">
        <v>45700</v>
      </c>
      <c r="C413" s="157">
        <v>34344.93</v>
      </c>
    </row>
    <row r="414" spans="2:3">
      <c r="B414" s="156">
        <v>45699</v>
      </c>
      <c r="C414" s="157">
        <v>34364.39</v>
      </c>
    </row>
    <row r="415" spans="2:3">
      <c r="B415" s="156">
        <v>45698</v>
      </c>
      <c r="C415" s="157">
        <v>34825.870000000003</v>
      </c>
    </row>
    <row r="416" spans="2:3">
      <c r="B416" s="156">
        <v>45695</v>
      </c>
      <c r="C416" s="157">
        <v>35091.5</v>
      </c>
    </row>
    <row r="417" spans="2:3">
      <c r="B417" s="156">
        <v>45694</v>
      </c>
      <c r="C417" s="157">
        <v>35143.08</v>
      </c>
    </row>
    <row r="418" spans="2:3">
      <c r="B418" s="156">
        <v>45693</v>
      </c>
      <c r="C418" s="157">
        <v>35277.699999999997</v>
      </c>
    </row>
    <row r="419" spans="2:3">
      <c r="B419" s="156">
        <v>45692</v>
      </c>
      <c r="C419" s="157">
        <v>35341.64</v>
      </c>
    </row>
    <row r="420" spans="2:3">
      <c r="B420" s="156">
        <v>45691</v>
      </c>
      <c r="C420" s="157">
        <v>34778.660000000003</v>
      </c>
    </row>
    <row r="421" spans="2:3">
      <c r="B421" s="156">
        <v>45689</v>
      </c>
      <c r="C421" s="157">
        <v>34958.89</v>
      </c>
    </row>
    <row r="422" spans="2:3">
      <c r="B422" s="156">
        <v>45688</v>
      </c>
      <c r="C422" s="157">
        <v>34998.01</v>
      </c>
    </row>
    <row r="423" spans="2:3">
      <c r="B423" s="156">
        <v>45687</v>
      </c>
      <c r="C423" s="157">
        <v>34603.4</v>
      </c>
    </row>
    <row r="424" spans="2:3">
      <c r="B424" s="156">
        <v>45686</v>
      </c>
      <c r="C424" s="157">
        <v>34474.800000000003</v>
      </c>
    </row>
    <row r="425" spans="2:3">
      <c r="B425" s="156">
        <v>45685</v>
      </c>
      <c r="C425" s="157">
        <v>34165.22</v>
      </c>
    </row>
    <row r="426" spans="2:3">
      <c r="B426" s="156">
        <v>45684</v>
      </c>
      <c r="C426" s="157">
        <v>33974.58</v>
      </c>
    </row>
    <row r="427" spans="2:3">
      <c r="B427" s="156">
        <v>45681</v>
      </c>
      <c r="C427" s="157">
        <v>34366.04</v>
      </c>
    </row>
    <row r="428" spans="2:3">
      <c r="B428" s="156">
        <v>45680</v>
      </c>
      <c r="C428" s="157">
        <v>34534.46</v>
      </c>
    </row>
    <row r="429" spans="2:3">
      <c r="B429" s="156">
        <v>45679</v>
      </c>
      <c r="C429" s="157">
        <v>34460.03</v>
      </c>
    </row>
    <row r="430" spans="2:3">
      <c r="B430" s="156">
        <v>45678</v>
      </c>
      <c r="C430" s="157">
        <v>34265.550000000003</v>
      </c>
    </row>
    <row r="431" spans="2:3">
      <c r="B431" s="156">
        <v>45677</v>
      </c>
      <c r="C431" s="157">
        <v>34741.89</v>
      </c>
    </row>
    <row r="432" spans="2:3">
      <c r="B432" s="156">
        <v>45674</v>
      </c>
      <c r="C432" s="157">
        <v>34531.21</v>
      </c>
    </row>
    <row r="433" spans="2:3">
      <c r="B433" s="156">
        <v>45673</v>
      </c>
      <c r="C433" s="157">
        <v>34660.67</v>
      </c>
    </row>
    <row r="434" spans="2:3">
      <c r="B434" s="156">
        <v>45672</v>
      </c>
      <c r="C434" s="157">
        <v>34514.06</v>
      </c>
    </row>
    <row r="435" spans="2:3">
      <c r="B435" s="156">
        <v>45671</v>
      </c>
      <c r="C435" s="157">
        <v>34458.870000000003</v>
      </c>
    </row>
    <row r="436" spans="2:3">
      <c r="B436" s="156">
        <v>45670</v>
      </c>
      <c r="C436" s="157">
        <v>34324.870000000003</v>
      </c>
    </row>
    <row r="437" spans="2:3">
      <c r="B437" s="156">
        <v>45667</v>
      </c>
      <c r="C437" s="157">
        <v>34838.660000000003</v>
      </c>
    </row>
    <row r="438" spans="2:3">
      <c r="B438" s="156">
        <v>45666</v>
      </c>
      <c r="C438" s="157">
        <v>34979.910000000003</v>
      </c>
    </row>
    <row r="439" spans="2:3">
      <c r="B439" s="156">
        <v>45665</v>
      </c>
      <c r="C439" s="157">
        <v>35221.43</v>
      </c>
    </row>
    <row r="440" spans="2:3">
      <c r="B440" s="156">
        <v>45664</v>
      </c>
      <c r="C440" s="157">
        <v>35249.64</v>
      </c>
    </row>
    <row r="441" spans="2:3">
      <c r="B441" s="156">
        <v>45663</v>
      </c>
      <c r="C441" s="157">
        <v>35113.040000000001</v>
      </c>
    </row>
    <row r="442" spans="2:3">
      <c r="B442" s="156">
        <v>45660</v>
      </c>
      <c r="C442" s="157">
        <v>35690.959999999999</v>
      </c>
    </row>
    <row r="443" spans="2:3">
      <c r="B443" s="156">
        <v>45659</v>
      </c>
      <c r="C443" s="157">
        <v>35964.43</v>
      </c>
    </row>
    <row r="444" spans="2:3">
      <c r="B444" s="156">
        <v>45658</v>
      </c>
      <c r="C444" s="157">
        <v>35301.629999999997</v>
      </c>
    </row>
    <row r="445" spans="2:3">
      <c r="B445" s="156">
        <v>45657</v>
      </c>
      <c r="C445" s="157">
        <v>35155.769999999997</v>
      </c>
    </row>
    <row r="446" spans="2:3">
      <c r="B446" s="156">
        <v>45656</v>
      </c>
      <c r="C446" s="157">
        <v>35155.94</v>
      </c>
    </row>
    <row r="447" spans="2:3">
      <c r="B447" s="156">
        <v>45653</v>
      </c>
      <c r="C447" s="157">
        <v>35406.5</v>
      </c>
    </row>
    <row r="448" spans="2:3">
      <c r="B448" s="156">
        <v>45652</v>
      </c>
      <c r="C448" s="157">
        <v>35312.5</v>
      </c>
    </row>
    <row r="449" spans="2:3">
      <c r="B449" s="156">
        <v>45650</v>
      </c>
      <c r="C449" s="157">
        <v>35278.97</v>
      </c>
    </row>
    <row r="450" spans="2:3">
      <c r="B450" s="156">
        <v>45649</v>
      </c>
      <c r="C450" s="157">
        <v>35317.360000000001</v>
      </c>
    </row>
    <row r="451" spans="2:3">
      <c r="B451" s="156">
        <v>45646</v>
      </c>
      <c r="C451" s="157">
        <v>35070.589999999997</v>
      </c>
    </row>
    <row r="452" spans="2:3">
      <c r="B452" s="156">
        <v>45645</v>
      </c>
      <c r="C452" s="157">
        <v>35612.11</v>
      </c>
    </row>
    <row r="453" spans="2:3">
      <c r="B453" s="156">
        <v>45644</v>
      </c>
      <c r="C453" s="157">
        <v>35979.58</v>
      </c>
    </row>
    <row r="454" spans="2:3">
      <c r="B454" s="156">
        <v>45643</v>
      </c>
      <c r="C454" s="157">
        <v>36183.53</v>
      </c>
    </row>
    <row r="455" spans="2:3">
      <c r="B455" s="156">
        <v>45642</v>
      </c>
      <c r="C455" s="157">
        <v>36677.480000000003</v>
      </c>
    </row>
    <row r="456" spans="2:3">
      <c r="B456" s="156">
        <v>45639</v>
      </c>
      <c r="C456" s="157">
        <v>36826.269999999997</v>
      </c>
    </row>
    <row r="457" spans="2:3">
      <c r="B457" s="156">
        <v>45638</v>
      </c>
      <c r="C457" s="157">
        <v>36499.75</v>
      </c>
    </row>
    <row r="458" spans="2:3">
      <c r="B458" s="156">
        <v>45637</v>
      </c>
      <c r="C458" s="157">
        <v>36638.14</v>
      </c>
    </row>
    <row r="459" spans="2:3">
      <c r="B459" s="156">
        <v>45636</v>
      </c>
      <c r="C459" s="157">
        <v>36590.980000000003</v>
      </c>
    </row>
    <row r="460" spans="2:3">
      <c r="B460" s="156">
        <v>45635</v>
      </c>
      <c r="C460" s="157">
        <v>36604.29</v>
      </c>
    </row>
    <row r="461" spans="2:3">
      <c r="B461" s="156">
        <v>45632</v>
      </c>
      <c r="C461" s="157">
        <v>36691.68</v>
      </c>
    </row>
    <row r="462" spans="2:3">
      <c r="B462" s="156">
        <v>45631</v>
      </c>
      <c r="C462" s="157">
        <v>36737.18</v>
      </c>
    </row>
    <row r="463" spans="2:3">
      <c r="B463" s="156">
        <v>45630</v>
      </c>
      <c r="C463" s="157">
        <v>36378.910000000003</v>
      </c>
    </row>
    <row r="464" spans="2:3">
      <c r="B464" s="156">
        <v>45629</v>
      </c>
      <c r="C464" s="157">
        <v>36363.629999999997</v>
      </c>
    </row>
    <row r="465" spans="2:3">
      <c r="B465" s="156">
        <v>45628</v>
      </c>
      <c r="C465" s="157">
        <v>36094.39</v>
      </c>
    </row>
    <row r="466" spans="2:3">
      <c r="B466" s="156">
        <v>45625</v>
      </c>
      <c r="C466" s="157">
        <v>35878.82</v>
      </c>
    </row>
    <row r="467" spans="2:3">
      <c r="B467" s="156">
        <v>45624</v>
      </c>
      <c r="C467" s="157">
        <v>35556.269999999997</v>
      </c>
    </row>
    <row r="468" spans="2:3">
      <c r="B468" s="156">
        <v>45623</v>
      </c>
      <c r="C468" s="157">
        <v>36092.65</v>
      </c>
    </row>
    <row r="469" spans="2:3">
      <c r="B469" s="156">
        <v>45622</v>
      </c>
      <c r="C469" s="157">
        <v>35973.11</v>
      </c>
    </row>
    <row r="470" spans="2:3">
      <c r="B470" s="156">
        <v>45621</v>
      </c>
      <c r="C470" s="157">
        <v>36013.85</v>
      </c>
    </row>
    <row r="471" spans="2:3">
      <c r="B471" s="156">
        <v>45618</v>
      </c>
      <c r="C471" s="157">
        <v>35546.01</v>
      </c>
    </row>
    <row r="472" spans="2:3">
      <c r="B472" s="156">
        <v>45617</v>
      </c>
      <c r="C472" s="157">
        <v>34717.32</v>
      </c>
    </row>
    <row r="473" spans="2:3">
      <c r="B473" s="156">
        <v>45615</v>
      </c>
      <c r="C473" s="157">
        <v>34968</v>
      </c>
    </row>
    <row r="474" spans="2:3">
      <c r="B474" s="156">
        <v>45614</v>
      </c>
      <c r="C474" s="157">
        <v>34871.21</v>
      </c>
    </row>
    <row r="475" spans="2:3">
      <c r="B475" s="156">
        <v>45610</v>
      </c>
      <c r="C475" s="157">
        <v>34988.480000000003</v>
      </c>
    </row>
    <row r="476" spans="2:3">
      <c r="B476" s="156">
        <v>45609</v>
      </c>
      <c r="C476" s="157">
        <v>35020.93</v>
      </c>
    </row>
    <row r="477" spans="2:3">
      <c r="B477" s="156">
        <v>45608</v>
      </c>
      <c r="C477" s="157">
        <v>35503.11</v>
      </c>
    </row>
    <row r="478" spans="2:3">
      <c r="B478" s="156">
        <v>45607</v>
      </c>
      <c r="C478" s="157">
        <v>35886.42</v>
      </c>
    </row>
    <row r="479" spans="2:3">
      <c r="B479" s="156">
        <v>45604</v>
      </c>
      <c r="C479" s="157">
        <v>35896.71</v>
      </c>
    </row>
    <row r="480" spans="2:3">
      <c r="B480" s="156">
        <v>45603</v>
      </c>
      <c r="C480" s="157">
        <v>35972.74</v>
      </c>
    </row>
    <row r="481" spans="2:3">
      <c r="B481" s="156">
        <v>45602</v>
      </c>
      <c r="C481" s="157">
        <v>36393.85</v>
      </c>
    </row>
    <row r="482" spans="2:3">
      <c r="B482" s="156">
        <v>45601</v>
      </c>
      <c r="C482" s="157">
        <v>35982.959999999999</v>
      </c>
    </row>
    <row r="483" spans="2:3">
      <c r="B483" s="156">
        <v>45600</v>
      </c>
      <c r="C483" s="157">
        <v>35659.07</v>
      </c>
    </row>
    <row r="484" spans="2:3">
      <c r="B484" s="156">
        <v>45597</v>
      </c>
      <c r="C484" s="157">
        <v>36118.25</v>
      </c>
    </row>
    <row r="485" spans="2:3">
      <c r="B485" s="156">
        <v>45596</v>
      </c>
      <c r="C485" s="157">
        <v>35971.14</v>
      </c>
    </row>
    <row r="486" spans="2:3">
      <c r="B486" s="156">
        <v>45595</v>
      </c>
      <c r="C486" s="157">
        <v>36165.43</v>
      </c>
    </row>
    <row r="487" spans="2:3">
      <c r="B487" s="156">
        <v>45594</v>
      </c>
      <c r="C487" s="157">
        <v>36352.629999999997</v>
      </c>
    </row>
    <row r="488" spans="2:3">
      <c r="B488" s="156">
        <v>45593</v>
      </c>
      <c r="C488" s="157">
        <v>36138.03</v>
      </c>
    </row>
    <row r="489" spans="2:3">
      <c r="B489" s="156">
        <v>45590</v>
      </c>
      <c r="C489" s="157">
        <v>35902.92</v>
      </c>
    </row>
    <row r="490" spans="2:3">
      <c r="B490" s="156">
        <v>45589</v>
      </c>
      <c r="C490" s="157">
        <v>36227.519999999997</v>
      </c>
    </row>
    <row r="491" spans="2:3">
      <c r="B491" s="156">
        <v>45588</v>
      </c>
      <c r="C491" s="157">
        <v>36281.1</v>
      </c>
    </row>
    <row r="492" spans="2:3">
      <c r="B492" s="156">
        <v>45587</v>
      </c>
      <c r="C492" s="157">
        <v>36335.46</v>
      </c>
    </row>
    <row r="493" spans="2:3">
      <c r="B493" s="156">
        <v>45586</v>
      </c>
      <c r="C493" s="157">
        <v>36789.949999999997</v>
      </c>
    </row>
    <row r="494" spans="2:3">
      <c r="B494" s="156">
        <v>45583</v>
      </c>
      <c r="C494" s="157">
        <v>36898.25</v>
      </c>
    </row>
    <row r="495" spans="2:3">
      <c r="B495" s="156">
        <v>45582</v>
      </c>
      <c r="C495" s="157">
        <v>36740.300000000003</v>
      </c>
    </row>
    <row r="496" spans="2:3">
      <c r="B496" s="156">
        <v>45581</v>
      </c>
      <c r="C496" s="157">
        <v>37068.99</v>
      </c>
    </row>
    <row r="497" spans="2:3">
      <c r="B497" s="156">
        <v>45580</v>
      </c>
      <c r="C497" s="157">
        <v>37196.69</v>
      </c>
    </row>
    <row r="498" spans="2:3">
      <c r="B498" s="156">
        <v>45579</v>
      </c>
      <c r="C498" s="157">
        <v>37301.5</v>
      </c>
    </row>
    <row r="499" spans="2:3">
      <c r="B499" s="156">
        <v>45576</v>
      </c>
      <c r="C499" s="157">
        <v>37058.49</v>
      </c>
    </row>
    <row r="500" spans="2:3">
      <c r="B500" s="156">
        <v>45575</v>
      </c>
      <c r="C500" s="157">
        <v>37109.26</v>
      </c>
    </row>
    <row r="501" spans="2:3">
      <c r="B501" s="156">
        <v>45574</v>
      </c>
      <c r="C501" s="157">
        <v>37084.75</v>
      </c>
    </row>
    <row r="502" spans="2:3">
      <c r="B502" s="156">
        <v>45573</v>
      </c>
      <c r="C502" s="157">
        <v>37131.07</v>
      </c>
    </row>
    <row r="503" spans="2:3">
      <c r="B503" s="156">
        <v>45572</v>
      </c>
      <c r="C503" s="157">
        <v>36808.370000000003</v>
      </c>
    </row>
    <row r="504" spans="2:3">
      <c r="B504" s="156">
        <v>45569</v>
      </c>
      <c r="C504" s="157">
        <v>37133.25</v>
      </c>
    </row>
    <row r="505" spans="2:3">
      <c r="B505" s="156">
        <v>45568</v>
      </c>
      <c r="C505" s="157">
        <v>37482.839999999997</v>
      </c>
    </row>
    <row r="506" spans="2:3">
      <c r="B506" s="156">
        <v>45566</v>
      </c>
      <c r="C506" s="157">
        <v>38294.54</v>
      </c>
    </row>
    <row r="507" spans="2:3">
      <c r="B507" s="156">
        <v>45565</v>
      </c>
      <c r="C507" s="157">
        <v>38315.21</v>
      </c>
    </row>
    <row r="508" spans="2:3">
      <c r="B508" s="156">
        <v>45562</v>
      </c>
      <c r="C508" s="157">
        <v>38861.64</v>
      </c>
    </row>
    <row r="509" spans="2:3">
      <c r="B509" s="156">
        <v>45561</v>
      </c>
      <c r="C509" s="157">
        <v>38916.76</v>
      </c>
    </row>
    <row r="510" spans="2:3">
      <c r="B510" s="156">
        <v>45560</v>
      </c>
      <c r="C510" s="157">
        <v>38602.21</v>
      </c>
    </row>
    <row r="511" spans="2:3">
      <c r="B511" s="156">
        <v>45559</v>
      </c>
      <c r="C511" s="157">
        <v>38507.550000000003</v>
      </c>
    </row>
    <row r="512" spans="2:3">
      <c r="B512" s="156">
        <v>45558</v>
      </c>
      <c r="C512" s="157">
        <v>38505.51</v>
      </c>
    </row>
    <row r="513" spans="2:3">
      <c r="B513" s="156">
        <v>45555</v>
      </c>
      <c r="C513" s="157">
        <v>38285.67</v>
      </c>
    </row>
    <row r="514" spans="2:3">
      <c r="B514" s="156">
        <v>45554</v>
      </c>
      <c r="C514" s="157">
        <v>37728.83</v>
      </c>
    </row>
    <row r="515" spans="2:3">
      <c r="B515" s="156">
        <v>45553</v>
      </c>
      <c r="C515" s="157">
        <v>37672.03</v>
      </c>
    </row>
    <row r="516" spans="2:3">
      <c r="B516" s="156">
        <v>45552</v>
      </c>
      <c r="C516" s="157">
        <v>37732.870000000003</v>
      </c>
    </row>
    <row r="517" spans="2:3">
      <c r="B517" s="156">
        <v>45551</v>
      </c>
      <c r="C517" s="157">
        <v>37681.24</v>
      </c>
    </row>
    <row r="518" spans="2:3">
      <c r="B518" s="156">
        <v>45548</v>
      </c>
      <c r="C518" s="157">
        <v>37640.800000000003</v>
      </c>
    </row>
    <row r="519" spans="2:3">
      <c r="B519" s="156">
        <v>45547</v>
      </c>
      <c r="C519" s="157">
        <v>37688.9</v>
      </c>
    </row>
    <row r="520" spans="2:3">
      <c r="B520" s="156">
        <v>45546</v>
      </c>
      <c r="C520" s="157">
        <v>36990.519999999997</v>
      </c>
    </row>
    <row r="521" spans="2:3">
      <c r="B521" s="156">
        <v>45545</v>
      </c>
      <c r="C521" s="157">
        <v>37172.57</v>
      </c>
    </row>
    <row r="522" spans="2:3">
      <c r="B522" s="156">
        <v>45544</v>
      </c>
      <c r="C522" s="157">
        <v>37017.15</v>
      </c>
    </row>
    <row r="523" spans="2:3">
      <c r="B523" s="156">
        <v>45541</v>
      </c>
      <c r="C523" s="157">
        <v>36892.07</v>
      </c>
    </row>
    <row r="524" spans="2:3">
      <c r="B524" s="156">
        <v>45540</v>
      </c>
      <c r="C524" s="157">
        <v>37326.99</v>
      </c>
    </row>
    <row r="525" spans="2:3">
      <c r="B525" s="156">
        <v>45539</v>
      </c>
      <c r="C525" s="157">
        <v>37406.550000000003</v>
      </c>
    </row>
    <row r="526" spans="2:3">
      <c r="B526" s="156">
        <v>45538</v>
      </c>
      <c r="C526" s="157">
        <v>37526.97</v>
      </c>
    </row>
    <row r="527" spans="2:3">
      <c r="B527" s="156">
        <v>45537</v>
      </c>
      <c r="C527" s="157">
        <v>37525.279999999999</v>
      </c>
    </row>
    <row r="528" spans="2:3">
      <c r="B528" s="156">
        <v>45534</v>
      </c>
      <c r="C528" s="157">
        <v>37461.730000000003</v>
      </c>
    </row>
    <row r="529" spans="2:3">
      <c r="B529" s="156">
        <v>45533</v>
      </c>
      <c r="C529" s="157">
        <v>37337.089999999997</v>
      </c>
    </row>
    <row r="530" spans="2:3">
      <c r="B530" s="156">
        <v>45532</v>
      </c>
      <c r="C530" s="157">
        <v>37189.269999999997</v>
      </c>
    </row>
    <row r="531" spans="2:3">
      <c r="B531" s="156">
        <v>45531</v>
      </c>
      <c r="C531" s="157">
        <v>37137.910000000003</v>
      </c>
    </row>
    <row r="532" spans="2:3">
      <c r="B532" s="156">
        <v>45530</v>
      </c>
      <c r="C532" s="157">
        <v>37127.300000000003</v>
      </c>
    </row>
    <row r="533" spans="2:3">
      <c r="B533" s="156">
        <v>45527</v>
      </c>
      <c r="C533" s="157">
        <v>36849.019999999997</v>
      </c>
    </row>
    <row r="534" spans="2:3">
      <c r="B534" s="156">
        <v>45526</v>
      </c>
      <c r="C534" s="157">
        <v>36828.5</v>
      </c>
    </row>
    <row r="535" spans="2:3">
      <c r="B535" s="156">
        <v>45525</v>
      </c>
      <c r="C535" s="157">
        <v>36767.19</v>
      </c>
    </row>
    <row r="536" spans="2:3">
      <c r="B536" s="156">
        <v>45524</v>
      </c>
      <c r="C536" s="157">
        <v>36661.24</v>
      </c>
    </row>
    <row r="537" spans="2:3">
      <c r="B537" s="156">
        <v>45523</v>
      </c>
      <c r="C537" s="157">
        <v>36473.949999999997</v>
      </c>
    </row>
    <row r="538" spans="2:3">
      <c r="B538" s="156">
        <v>45520</v>
      </c>
      <c r="C538" s="157">
        <v>36415.85</v>
      </c>
    </row>
    <row r="539" spans="2:3">
      <c r="B539" s="156">
        <v>45518</v>
      </c>
      <c r="C539" s="157">
        <v>35817.89</v>
      </c>
    </row>
    <row r="540" spans="2:3">
      <c r="B540" s="156">
        <v>45517</v>
      </c>
      <c r="C540" s="157">
        <v>35810.83</v>
      </c>
    </row>
    <row r="541" spans="2:3">
      <c r="B541" s="156">
        <v>45516</v>
      </c>
      <c r="C541" s="157">
        <v>36119.449999999997</v>
      </c>
    </row>
    <row r="542" spans="2:3">
      <c r="B542" s="156">
        <v>45513</v>
      </c>
      <c r="C542" s="157">
        <v>36126.230000000003</v>
      </c>
    </row>
    <row r="543" spans="2:3">
      <c r="B543" s="156">
        <v>45512</v>
      </c>
      <c r="C543" s="157">
        <v>35753.120000000003</v>
      </c>
    </row>
    <row r="544" spans="2:3">
      <c r="B544" s="156">
        <v>45511</v>
      </c>
      <c r="C544" s="157">
        <v>36020.75</v>
      </c>
    </row>
    <row r="545" spans="2:3">
      <c r="B545" s="156">
        <v>45510</v>
      </c>
      <c r="C545" s="157">
        <v>35554.15</v>
      </c>
    </row>
    <row r="546" spans="2:3">
      <c r="B546" s="156">
        <v>45509</v>
      </c>
      <c r="C546" s="157">
        <v>35646.370000000003</v>
      </c>
    </row>
    <row r="547" spans="2:3">
      <c r="B547" s="156">
        <v>45506</v>
      </c>
      <c r="C547" s="157">
        <v>36624.49</v>
      </c>
    </row>
    <row r="548" spans="2:3">
      <c r="B548" s="156">
        <v>45505</v>
      </c>
      <c r="C548" s="157">
        <v>37049.699999999997</v>
      </c>
    </row>
    <row r="549" spans="2:3">
      <c r="B549" s="156">
        <v>45504</v>
      </c>
      <c r="C549" s="157">
        <v>36959.480000000003</v>
      </c>
    </row>
    <row r="550" spans="2:3">
      <c r="B550" s="156">
        <v>45503</v>
      </c>
      <c r="C550" s="157">
        <v>36820.47</v>
      </c>
    </row>
    <row r="551" spans="2:3">
      <c r="B551" s="156">
        <v>45502</v>
      </c>
      <c r="C551" s="157">
        <v>36786.300000000003</v>
      </c>
    </row>
    <row r="552" spans="2:3">
      <c r="B552" s="156">
        <v>45499</v>
      </c>
      <c r="C552" s="157">
        <v>36784.480000000003</v>
      </c>
    </row>
    <row r="553" spans="2:3">
      <c r="B553" s="156">
        <v>45498</v>
      </c>
      <c r="C553" s="157">
        <v>36149.4</v>
      </c>
    </row>
    <row r="554" spans="2:3">
      <c r="B554" s="156">
        <v>45497</v>
      </c>
      <c r="C554" s="157">
        <v>36160.36</v>
      </c>
    </row>
    <row r="555" spans="2:3">
      <c r="B555" s="156">
        <v>45496</v>
      </c>
      <c r="C555" s="157">
        <v>36257.51</v>
      </c>
    </row>
    <row r="556" spans="2:3">
      <c r="B556" s="156">
        <v>45495</v>
      </c>
      <c r="C556" s="157">
        <v>36296.550000000003</v>
      </c>
    </row>
    <row r="557" spans="2:3">
      <c r="B557" s="156">
        <v>45492</v>
      </c>
      <c r="C557" s="157">
        <v>36328.6</v>
      </c>
    </row>
    <row r="558" spans="2:3">
      <c r="B558" s="156">
        <v>45491</v>
      </c>
      <c r="C558" s="157">
        <v>36723.93</v>
      </c>
    </row>
    <row r="559" spans="2:3">
      <c r="B559" s="156">
        <v>45489</v>
      </c>
      <c r="C559" s="157">
        <v>36445.79</v>
      </c>
    </row>
    <row r="560" spans="2:3">
      <c r="B560" s="156">
        <v>45488</v>
      </c>
      <c r="C560" s="157">
        <v>36403.86</v>
      </c>
    </row>
    <row r="561" spans="2:3">
      <c r="B561" s="156">
        <v>45485</v>
      </c>
      <c r="C561" s="157">
        <v>36278.67</v>
      </c>
    </row>
    <row r="562" spans="2:3">
      <c r="B562" s="156">
        <v>45484</v>
      </c>
      <c r="C562" s="157">
        <v>36000.25</v>
      </c>
    </row>
    <row r="563" spans="2:3">
      <c r="B563" s="156">
        <v>45483</v>
      </c>
      <c r="C563" s="157">
        <v>36012.82</v>
      </c>
    </row>
    <row r="564" spans="2:3">
      <c r="B564" s="156">
        <v>45482</v>
      </c>
      <c r="C564" s="157">
        <v>36173.870000000003</v>
      </c>
    </row>
    <row r="565" spans="2:3">
      <c r="B565" s="156">
        <v>45481</v>
      </c>
      <c r="C565" s="157">
        <v>36004.74</v>
      </c>
    </row>
    <row r="566" spans="2:3">
      <c r="B566" s="156">
        <v>45478</v>
      </c>
      <c r="C566" s="157">
        <v>36009.61</v>
      </c>
    </row>
    <row r="567" spans="2:3">
      <c r="B567" s="156">
        <v>45476</v>
      </c>
      <c r="C567" s="157">
        <v>35947.53</v>
      </c>
    </row>
    <row r="568" spans="2:3">
      <c r="B568" s="156">
        <v>45475</v>
      </c>
      <c r="C568" s="157">
        <v>35706.769999999997</v>
      </c>
    </row>
    <row r="569" spans="2:3">
      <c r="B569" s="156">
        <v>45474</v>
      </c>
      <c r="C569" s="157">
        <v>35733.58</v>
      </c>
    </row>
    <row r="570" spans="2:3">
      <c r="B570" s="156">
        <v>45471</v>
      </c>
      <c r="C570" s="157">
        <v>35539.160000000003</v>
      </c>
    </row>
    <row r="571" spans="2:3">
      <c r="B571" s="156">
        <v>45470</v>
      </c>
      <c r="C571" s="157">
        <v>35585.620000000003</v>
      </c>
    </row>
    <row r="572" spans="2:3">
      <c r="B572" s="156">
        <v>45469</v>
      </c>
      <c r="C572" s="157">
        <v>35324.11</v>
      </c>
    </row>
    <row r="573" spans="2:3">
      <c r="B573" s="156">
        <v>45468</v>
      </c>
      <c r="C573" s="157">
        <v>35105.79</v>
      </c>
    </row>
    <row r="574" spans="2:3">
      <c r="B574" s="156">
        <v>45467</v>
      </c>
      <c r="C574" s="157">
        <v>34834.33</v>
      </c>
    </row>
    <row r="575" spans="2:3">
      <c r="B575" s="156">
        <v>45464</v>
      </c>
      <c r="C575" s="157">
        <v>34779.9</v>
      </c>
    </row>
    <row r="576" spans="2:3">
      <c r="B576" s="156">
        <v>45463</v>
      </c>
      <c r="C576" s="157">
        <v>34873.15</v>
      </c>
    </row>
    <row r="577" spans="2:3">
      <c r="B577" s="156">
        <v>45462</v>
      </c>
      <c r="C577" s="157">
        <v>34786.58</v>
      </c>
    </row>
    <row r="578" spans="2:3">
      <c r="B578" s="156">
        <v>45461</v>
      </c>
      <c r="C578" s="157">
        <v>34847.24</v>
      </c>
    </row>
    <row r="579" spans="2:3">
      <c r="B579" s="156">
        <v>45457</v>
      </c>
      <c r="C579" s="157">
        <v>34710.67</v>
      </c>
    </row>
    <row r="580" spans="2:3">
      <c r="B580" s="156">
        <v>45456</v>
      </c>
      <c r="C580" s="157">
        <v>34600.19</v>
      </c>
    </row>
    <row r="581" spans="2:3">
      <c r="B581" s="156">
        <v>45455</v>
      </c>
      <c r="C581" s="157">
        <v>34487.879999999997</v>
      </c>
    </row>
    <row r="582" spans="2:3">
      <c r="B582" s="156">
        <v>45454</v>
      </c>
      <c r="C582" s="157">
        <v>34402</v>
      </c>
    </row>
    <row r="583" spans="2:3">
      <c r="B583" s="156">
        <v>45453</v>
      </c>
      <c r="C583" s="157">
        <v>34385.839999999997</v>
      </c>
    </row>
    <row r="584" spans="2:3">
      <c r="B584" s="156">
        <v>45450</v>
      </c>
      <c r="C584" s="157">
        <v>34431.61</v>
      </c>
    </row>
    <row r="585" spans="2:3">
      <c r="B585" s="156">
        <v>45449</v>
      </c>
      <c r="C585" s="157">
        <v>33738.58</v>
      </c>
    </row>
    <row r="586" spans="2:3">
      <c r="B586" s="156">
        <v>45448</v>
      </c>
      <c r="C586" s="157">
        <v>33441.4</v>
      </c>
    </row>
    <row r="587" spans="2:3">
      <c r="B587" s="156">
        <v>45447</v>
      </c>
      <c r="C587" s="157">
        <v>32353.5</v>
      </c>
    </row>
    <row r="588" spans="2:3">
      <c r="B588" s="156">
        <v>45446</v>
      </c>
      <c r="C588" s="157">
        <v>34369.129999999997</v>
      </c>
    </row>
    <row r="589" spans="2:3">
      <c r="B589" s="156">
        <v>45443</v>
      </c>
      <c r="C589" s="157">
        <v>33285.9</v>
      </c>
    </row>
    <row r="590" spans="2:3">
      <c r="B590" s="156">
        <v>45442</v>
      </c>
      <c r="C590" s="157">
        <v>33190.35</v>
      </c>
    </row>
    <row r="591" spans="2:3">
      <c r="B591" s="156">
        <v>45441</v>
      </c>
      <c r="C591" s="157">
        <v>33509.230000000003</v>
      </c>
    </row>
    <row r="592" spans="2:3">
      <c r="B592" s="156">
        <v>45440</v>
      </c>
      <c r="C592" s="157">
        <v>33780.01</v>
      </c>
    </row>
    <row r="593" spans="2:3">
      <c r="B593" s="156">
        <v>45439</v>
      </c>
      <c r="C593" s="157">
        <v>33845.39</v>
      </c>
    </row>
    <row r="594" spans="2:3">
      <c r="B594" s="156">
        <v>45436</v>
      </c>
      <c r="C594" s="157">
        <v>33881.75</v>
      </c>
    </row>
    <row r="595" spans="2:3">
      <c r="B595" s="156">
        <v>45435</v>
      </c>
      <c r="C595" s="157">
        <v>33895.660000000003</v>
      </c>
    </row>
    <row r="596" spans="2:3">
      <c r="B596" s="156">
        <v>45434</v>
      </c>
      <c r="C596" s="157">
        <v>33349.839999999997</v>
      </c>
    </row>
    <row r="597" spans="2:3">
      <c r="B597" s="156">
        <v>45433</v>
      </c>
      <c r="C597" s="157">
        <v>33230.839999999997</v>
      </c>
    </row>
    <row r="598" spans="2:3">
      <c r="B598" s="156">
        <v>45430</v>
      </c>
      <c r="C598" s="157">
        <v>33190.97</v>
      </c>
    </row>
    <row r="599" spans="2:3">
      <c r="B599" s="156">
        <v>45429</v>
      </c>
      <c r="C599" s="157">
        <v>33138.019999999997</v>
      </c>
    </row>
    <row r="600" spans="2:3">
      <c r="B600" s="156">
        <v>45428</v>
      </c>
      <c r="C600" s="157">
        <v>33046.160000000003</v>
      </c>
    </row>
    <row r="601" spans="2:3">
      <c r="B601" s="156">
        <v>45427</v>
      </c>
      <c r="C601" s="157">
        <v>32736.91</v>
      </c>
    </row>
    <row r="602" spans="2:3">
      <c r="B602" s="156">
        <v>45426</v>
      </c>
      <c r="C602" s="157">
        <v>32762.37</v>
      </c>
    </row>
    <row r="603" spans="2:3">
      <c r="B603" s="156">
        <v>45425</v>
      </c>
      <c r="C603" s="157">
        <v>32594.61</v>
      </c>
    </row>
    <row r="604" spans="2:3">
      <c r="B604" s="156">
        <v>45422</v>
      </c>
      <c r="C604" s="157">
        <v>32522.55</v>
      </c>
    </row>
    <row r="605" spans="2:3">
      <c r="B605" s="156">
        <v>45421</v>
      </c>
      <c r="C605" s="157">
        <v>32329.72</v>
      </c>
    </row>
    <row r="606" spans="2:3">
      <c r="B606" s="156">
        <v>45420</v>
      </c>
      <c r="C606" s="157">
        <v>32837.65</v>
      </c>
    </row>
    <row r="607" spans="2:3">
      <c r="B607" s="156">
        <v>45419</v>
      </c>
      <c r="C607" s="157">
        <v>32837.71</v>
      </c>
    </row>
    <row r="608" spans="2:3">
      <c r="B608" s="156">
        <v>45418</v>
      </c>
      <c r="C608" s="157">
        <v>33037.730000000003</v>
      </c>
    </row>
    <row r="609" spans="2:3">
      <c r="B609" s="156">
        <v>45415</v>
      </c>
      <c r="C609" s="157">
        <v>33086.51</v>
      </c>
    </row>
    <row r="610" spans="2:3">
      <c r="B610" s="156">
        <v>45414</v>
      </c>
      <c r="C610" s="157">
        <v>33340.199999999997</v>
      </c>
    </row>
    <row r="611" spans="2:3">
      <c r="B611" s="156">
        <v>45412</v>
      </c>
      <c r="C611" s="157">
        <v>33276.410000000003</v>
      </c>
    </row>
    <row r="612" spans="2:3">
      <c r="B612" s="156">
        <v>45408</v>
      </c>
      <c r="C612" s="157">
        <v>33333.120000000003</v>
      </c>
    </row>
    <row r="613" spans="2:3">
      <c r="B613" s="156">
        <v>45407</v>
      </c>
      <c r="C613" s="157">
        <v>33225.64</v>
      </c>
    </row>
    <row r="614" spans="2:3">
      <c r="B614" s="156">
        <v>45406</v>
      </c>
      <c r="C614" s="157">
        <v>32978.370000000003</v>
      </c>
    </row>
    <row r="615" spans="2:3">
      <c r="B615" s="156">
        <v>45405</v>
      </c>
      <c r="C615" s="157">
        <v>32927.730000000003</v>
      </c>
    </row>
    <row r="616" spans="2:3">
      <c r="B616" s="156">
        <v>45404</v>
      </c>
      <c r="C616" s="157">
        <v>32881.22</v>
      </c>
    </row>
    <row r="617" spans="2:3">
      <c r="B617" s="156">
        <v>45401</v>
      </c>
      <c r="C617" s="157">
        <v>32602.42</v>
      </c>
    </row>
    <row r="618" spans="2:3">
      <c r="B618" s="156">
        <v>45400</v>
      </c>
      <c r="C618" s="157">
        <v>32379.9</v>
      </c>
    </row>
    <row r="619" spans="2:3">
      <c r="B619" s="156">
        <v>45398</v>
      </c>
      <c r="C619" s="157">
        <v>32603.74</v>
      </c>
    </row>
    <row r="620" spans="2:3">
      <c r="B620" s="156">
        <v>45397</v>
      </c>
      <c r="C620" s="157">
        <v>32787.15</v>
      </c>
    </row>
    <row r="621" spans="2:3">
      <c r="B621" s="156">
        <v>45394</v>
      </c>
      <c r="C621" s="157">
        <v>33150.589999999997</v>
      </c>
    </row>
    <row r="622" spans="2:3">
      <c r="B622" s="156">
        <v>45392</v>
      </c>
      <c r="C622" s="157">
        <v>33495.65</v>
      </c>
    </row>
    <row r="623" spans="2:3">
      <c r="B623" s="156">
        <v>45391</v>
      </c>
      <c r="C623" s="157">
        <v>33332.19</v>
      </c>
    </row>
    <row r="624" spans="2:3">
      <c r="B624" s="156">
        <v>45390</v>
      </c>
      <c r="C624" s="157">
        <v>33366.870000000003</v>
      </c>
    </row>
    <row r="625" spans="2:3">
      <c r="B625" s="156">
        <v>45387</v>
      </c>
      <c r="C625" s="157">
        <v>33142.19</v>
      </c>
    </row>
    <row r="626" spans="2:3">
      <c r="B626" s="156">
        <v>45386</v>
      </c>
      <c r="C626" s="157">
        <v>33143.589999999997</v>
      </c>
    </row>
    <row r="627" spans="2:3">
      <c r="B627" s="156">
        <v>45385</v>
      </c>
      <c r="C627" s="157">
        <v>33025.82</v>
      </c>
    </row>
    <row r="628" spans="2:3">
      <c r="B628" s="156">
        <v>45384</v>
      </c>
      <c r="C628" s="157">
        <v>33053.33</v>
      </c>
    </row>
    <row r="629" spans="2:3">
      <c r="B629" s="156">
        <v>45383</v>
      </c>
      <c r="C629" s="157">
        <v>33066.129999999997</v>
      </c>
    </row>
    <row r="630" spans="2:3">
      <c r="B630" s="156">
        <v>45379</v>
      </c>
      <c r="C630" s="157">
        <v>32867.230000000003</v>
      </c>
    </row>
    <row r="631" spans="2:3">
      <c r="B631" s="156">
        <v>45378</v>
      </c>
      <c r="C631" s="157">
        <v>32568.01</v>
      </c>
    </row>
    <row r="632" spans="2:3">
      <c r="B632" s="156">
        <v>45377</v>
      </c>
      <c r="C632" s="157">
        <v>32392.94</v>
      </c>
    </row>
    <row r="633" spans="2:3">
      <c r="B633" s="156">
        <v>45373</v>
      </c>
      <c r="C633" s="157">
        <v>32528.43</v>
      </c>
    </row>
    <row r="634" spans="2:3">
      <c r="B634" s="156">
        <v>45372</v>
      </c>
      <c r="C634" s="157">
        <v>32403.599999999999</v>
      </c>
    </row>
    <row r="635" spans="2:3">
      <c r="B635" s="156">
        <v>45371</v>
      </c>
      <c r="C635" s="157">
        <v>32149.17</v>
      </c>
    </row>
    <row r="636" spans="2:3">
      <c r="B636" s="156">
        <v>45370</v>
      </c>
      <c r="C636" s="157">
        <v>32117.3</v>
      </c>
    </row>
    <row r="637" spans="2:3">
      <c r="B637" s="156">
        <v>45369</v>
      </c>
      <c r="C637" s="157">
        <v>32468</v>
      </c>
    </row>
    <row r="638" spans="2:3">
      <c r="B638" s="156">
        <v>45367</v>
      </c>
      <c r="C638" s="157">
        <v>32603.74</v>
      </c>
    </row>
    <row r="639" spans="2:3">
      <c r="B639" s="156">
        <v>45366</v>
      </c>
      <c r="C639" s="157">
        <v>32420.41</v>
      </c>
    </row>
    <row r="640" spans="2:3">
      <c r="B640" s="156">
        <v>45365</v>
      </c>
      <c r="C640" s="157">
        <v>32601.49</v>
      </c>
    </row>
    <row r="641" spans="2:3">
      <c r="B641" s="156">
        <v>45364</v>
      </c>
      <c r="C641" s="157">
        <v>32382.22</v>
      </c>
    </row>
    <row r="642" spans="2:3">
      <c r="B642" s="156">
        <v>45363</v>
      </c>
      <c r="C642" s="157">
        <v>32879.74</v>
      </c>
    </row>
    <row r="643" spans="2:3">
      <c r="B643" s="156">
        <v>45362</v>
      </c>
      <c r="C643" s="157">
        <v>32875.25</v>
      </c>
    </row>
    <row r="644" spans="2:3">
      <c r="B644" s="156">
        <v>45358</v>
      </c>
      <c r="C644" s="157">
        <v>33112.15</v>
      </c>
    </row>
    <row r="645" spans="2:3">
      <c r="B645" s="156">
        <v>45357</v>
      </c>
      <c r="C645" s="157">
        <v>33083.42</v>
      </c>
    </row>
    <row r="646" spans="2:3">
      <c r="B646" s="156">
        <v>45356</v>
      </c>
      <c r="C646" s="157">
        <v>32910.07</v>
      </c>
    </row>
    <row r="647" spans="2:3">
      <c r="B647" s="156">
        <v>45355</v>
      </c>
      <c r="C647" s="157">
        <v>32982.68</v>
      </c>
    </row>
    <row r="648" spans="2:3">
      <c r="B648" s="156">
        <v>45353</v>
      </c>
      <c r="C648" s="157">
        <v>32942.629999999997</v>
      </c>
    </row>
    <row r="649" spans="2:3">
      <c r="B649" s="156">
        <v>45352</v>
      </c>
      <c r="C649" s="157">
        <v>32884.29</v>
      </c>
    </row>
    <row r="650" spans="2:3">
      <c r="B650" s="156">
        <v>45351</v>
      </c>
      <c r="C650" s="157">
        <v>32360.25</v>
      </c>
    </row>
    <row r="651" spans="2:3">
      <c r="B651" s="156">
        <v>45350</v>
      </c>
      <c r="C651" s="157">
        <v>32313.7</v>
      </c>
    </row>
    <row r="652" spans="2:3">
      <c r="B652" s="156">
        <v>45349</v>
      </c>
      <c r="C652" s="157">
        <v>32677.61</v>
      </c>
    </row>
    <row r="653" spans="2:3">
      <c r="B653" s="156">
        <v>45348</v>
      </c>
      <c r="C653" s="157">
        <v>32565.29</v>
      </c>
    </row>
    <row r="654" spans="2:3">
      <c r="B654" s="156">
        <v>45345</v>
      </c>
      <c r="C654" s="157">
        <v>32698.69</v>
      </c>
    </row>
    <row r="655" spans="2:3">
      <c r="B655" s="156">
        <v>45344</v>
      </c>
      <c r="C655" s="157">
        <v>32705.7</v>
      </c>
    </row>
    <row r="656" spans="2:3">
      <c r="B656" s="156">
        <v>45343</v>
      </c>
      <c r="C656" s="157">
        <v>32466.65</v>
      </c>
    </row>
    <row r="657" spans="2:3">
      <c r="B657" s="156">
        <v>45342</v>
      </c>
      <c r="C657" s="157">
        <v>32675.53</v>
      </c>
    </row>
    <row r="658" spans="2:3">
      <c r="B658" s="156">
        <v>45341</v>
      </c>
      <c r="C658" s="157">
        <v>32561.34</v>
      </c>
    </row>
    <row r="659" spans="2:3">
      <c r="B659" s="156">
        <v>45338</v>
      </c>
      <c r="C659" s="157">
        <v>32441.32</v>
      </c>
    </row>
    <row r="660" spans="2:3">
      <c r="B660" s="156">
        <v>45337</v>
      </c>
      <c r="C660" s="157">
        <v>32244.79</v>
      </c>
    </row>
    <row r="661" spans="2:3">
      <c r="B661" s="156">
        <v>45336</v>
      </c>
      <c r="C661" s="157">
        <v>32133.040000000001</v>
      </c>
    </row>
    <row r="662" spans="2:3">
      <c r="B662" s="156">
        <v>45335</v>
      </c>
      <c r="C662" s="157">
        <v>31990.61</v>
      </c>
    </row>
    <row r="663" spans="2:3">
      <c r="B663" s="156">
        <v>45334</v>
      </c>
      <c r="C663" s="157">
        <v>31803.52</v>
      </c>
    </row>
    <row r="664" spans="2:3">
      <c r="B664" s="156">
        <v>45331</v>
      </c>
      <c r="C664" s="157">
        <v>32048.38</v>
      </c>
    </row>
    <row r="665" spans="2:3">
      <c r="B665" s="156">
        <v>45330</v>
      </c>
      <c r="C665" s="157">
        <v>31950.32</v>
      </c>
    </row>
    <row r="666" spans="2:3">
      <c r="B666" s="156">
        <v>45329</v>
      </c>
      <c r="C666" s="157">
        <v>32244.22</v>
      </c>
    </row>
    <row r="667" spans="2:3">
      <c r="B667" s="156">
        <v>45328</v>
      </c>
      <c r="C667" s="157">
        <v>32242.59</v>
      </c>
    </row>
    <row r="668" spans="2:3">
      <c r="B668" s="156">
        <v>45327</v>
      </c>
      <c r="C668" s="157">
        <v>32007.18</v>
      </c>
    </row>
    <row r="669" spans="2:3">
      <c r="B669" s="156">
        <v>45324</v>
      </c>
      <c r="C669" s="157">
        <v>32127.9</v>
      </c>
    </row>
    <row r="670" spans="2:3">
      <c r="B670" s="156">
        <v>45323</v>
      </c>
      <c r="C670" s="157">
        <v>31898.06</v>
      </c>
    </row>
    <row r="671" spans="2:3">
      <c r="B671" s="156">
        <v>45322</v>
      </c>
      <c r="C671" s="157">
        <v>31939.59</v>
      </c>
    </row>
    <row r="672" spans="2:3">
      <c r="B672" s="156">
        <v>45321</v>
      </c>
      <c r="C672" s="157">
        <v>31640.240000000002</v>
      </c>
    </row>
    <row r="673" spans="2:3">
      <c r="B673" s="156">
        <v>45320</v>
      </c>
      <c r="C673" s="157">
        <v>31957.05</v>
      </c>
    </row>
    <row r="674" spans="2:3">
      <c r="B674" s="156">
        <v>45316</v>
      </c>
      <c r="C674" s="157">
        <v>31391.07</v>
      </c>
    </row>
    <row r="675" spans="2:3">
      <c r="B675" s="156">
        <v>45315</v>
      </c>
      <c r="C675" s="157">
        <v>31540.07</v>
      </c>
    </row>
    <row r="676" spans="2:3">
      <c r="B676" s="156">
        <v>45314</v>
      </c>
      <c r="C676" s="157">
        <v>31223.3</v>
      </c>
    </row>
    <row r="677" spans="2:3">
      <c r="B677" s="156">
        <v>45311</v>
      </c>
      <c r="C677" s="157">
        <v>31712.86</v>
      </c>
    </row>
    <row r="678" spans="2:3">
      <c r="B678" s="156">
        <v>45310</v>
      </c>
      <c r="C678" s="157">
        <v>31787.24</v>
      </c>
    </row>
    <row r="679" spans="2:3">
      <c r="B679" s="156">
        <v>45309</v>
      </c>
      <c r="C679" s="157">
        <v>31538.400000000001</v>
      </c>
    </row>
    <row r="680" spans="2:3">
      <c r="B680" s="156">
        <v>45308</v>
      </c>
      <c r="C680" s="157">
        <v>31699.64</v>
      </c>
    </row>
    <row r="681" spans="2:3">
      <c r="B681" s="156">
        <v>45307</v>
      </c>
      <c r="C681" s="157">
        <v>32376.1</v>
      </c>
    </row>
    <row r="682" spans="2:3">
      <c r="B682" s="156">
        <v>45306</v>
      </c>
      <c r="C682" s="157">
        <v>32471.8</v>
      </c>
    </row>
    <row r="683" spans="2:3">
      <c r="B683" s="156">
        <v>45303</v>
      </c>
      <c r="C683" s="157">
        <v>32173.66</v>
      </c>
    </row>
    <row r="684" spans="2:3">
      <c r="B684" s="156">
        <v>45302</v>
      </c>
      <c r="C684" s="157">
        <v>31810.18</v>
      </c>
    </row>
    <row r="685" spans="2:3">
      <c r="B685" s="156">
        <v>45301</v>
      </c>
      <c r="C685" s="157">
        <v>31768.3</v>
      </c>
    </row>
    <row r="686" spans="2:3">
      <c r="B686" s="156">
        <v>45300</v>
      </c>
      <c r="C686" s="157">
        <v>31659.81</v>
      </c>
    </row>
    <row r="687" spans="2:3">
      <c r="B687" s="156">
        <v>45299</v>
      </c>
      <c r="C687" s="157">
        <v>31613.01</v>
      </c>
    </row>
    <row r="688" spans="2:3">
      <c r="B688" s="156">
        <v>45296</v>
      </c>
      <c r="C688" s="157">
        <v>31903.69</v>
      </c>
    </row>
    <row r="689" spans="2:3">
      <c r="B689" s="156">
        <v>45295</v>
      </c>
      <c r="C689" s="157">
        <v>31826.97</v>
      </c>
    </row>
    <row r="690" spans="2:3">
      <c r="B690" s="156">
        <v>45294</v>
      </c>
      <c r="C690" s="157">
        <v>31619.360000000001</v>
      </c>
    </row>
    <row r="691" spans="2:3">
      <c r="B691" s="156">
        <v>45293</v>
      </c>
      <c r="C691" s="157">
        <v>31837.56</v>
      </c>
    </row>
    <row r="692" spans="2:3">
      <c r="B692" s="156">
        <v>45292</v>
      </c>
      <c r="C692" s="157">
        <v>31949.360000000001</v>
      </c>
    </row>
    <row r="693" spans="2:3">
      <c r="B693" s="156">
        <v>45289</v>
      </c>
      <c r="C693" s="157">
        <v>31933.93</v>
      </c>
    </row>
    <row r="694" spans="2:3">
      <c r="B694" s="156">
        <v>45288</v>
      </c>
      <c r="C694" s="157">
        <v>32003.47</v>
      </c>
    </row>
    <row r="695" spans="2:3">
      <c r="B695" s="156">
        <v>45287</v>
      </c>
      <c r="C695" s="157">
        <v>31821.31</v>
      </c>
    </row>
    <row r="696" spans="2:3">
      <c r="B696" s="156">
        <v>45286</v>
      </c>
      <c r="C696" s="157">
        <v>31507.69</v>
      </c>
    </row>
    <row r="697" spans="2:3">
      <c r="B697" s="156">
        <v>45282</v>
      </c>
      <c r="C697" s="157">
        <v>31372.6</v>
      </c>
    </row>
    <row r="698" spans="2:3">
      <c r="B698" s="156">
        <v>45281</v>
      </c>
      <c r="C698" s="157">
        <v>31233.93</v>
      </c>
    </row>
    <row r="699" spans="2:3">
      <c r="B699" s="156">
        <v>45280</v>
      </c>
      <c r="C699" s="157">
        <v>31079.759999999998</v>
      </c>
    </row>
    <row r="700" spans="2:3">
      <c r="B700" s="156">
        <v>45279</v>
      </c>
      <c r="C700" s="157">
        <v>31525</v>
      </c>
    </row>
    <row r="701" spans="2:3">
      <c r="B701" s="156">
        <v>45278</v>
      </c>
      <c r="C701" s="157">
        <v>31474.35</v>
      </c>
    </row>
    <row r="702" spans="2:3">
      <c r="B702" s="156">
        <v>45275</v>
      </c>
      <c r="C702" s="157">
        <v>31530.19</v>
      </c>
    </row>
    <row r="703" spans="2:3">
      <c r="B703" s="156">
        <v>45274</v>
      </c>
      <c r="C703" s="157">
        <v>31127.599999999999</v>
      </c>
    </row>
    <row r="704" spans="2:3">
      <c r="B704" s="156">
        <v>45273</v>
      </c>
      <c r="C704" s="157">
        <v>30750.95</v>
      </c>
    </row>
    <row r="705" spans="2:3">
      <c r="B705" s="156">
        <v>45272</v>
      </c>
      <c r="C705" s="157">
        <v>30721.59</v>
      </c>
    </row>
    <row r="706" spans="2:3">
      <c r="B706" s="156">
        <v>45271</v>
      </c>
      <c r="C706" s="157">
        <v>30854.9</v>
      </c>
    </row>
    <row r="707" spans="2:3">
      <c r="B707" s="156">
        <v>45268</v>
      </c>
      <c r="C707" s="157">
        <v>30814.15</v>
      </c>
    </row>
    <row r="708" spans="2:3">
      <c r="B708" s="156">
        <v>45267</v>
      </c>
      <c r="C708" s="157">
        <v>30713.86</v>
      </c>
    </row>
    <row r="709" spans="2:3">
      <c r="B709" s="156">
        <v>45266</v>
      </c>
      <c r="C709" s="157">
        <v>30767.599999999999</v>
      </c>
    </row>
    <row r="710" spans="2:3">
      <c r="B710" s="156">
        <v>45265</v>
      </c>
      <c r="C710" s="157">
        <v>30646.19</v>
      </c>
    </row>
    <row r="711" spans="2:3">
      <c r="B711" s="156">
        <v>45264</v>
      </c>
      <c r="C711" s="157">
        <v>30398.91</v>
      </c>
    </row>
    <row r="712" spans="2:3">
      <c r="B712" s="156">
        <v>45261</v>
      </c>
      <c r="C712" s="157">
        <v>29783.34</v>
      </c>
    </row>
    <row r="713" spans="2:3">
      <c r="B713" s="156">
        <v>45260</v>
      </c>
      <c r="C713" s="157">
        <v>29585.360000000001</v>
      </c>
    </row>
    <row r="714" spans="2:3">
      <c r="B714" s="156">
        <v>45259</v>
      </c>
      <c r="C714" s="157">
        <v>29531.63</v>
      </c>
    </row>
    <row r="715" spans="2:3">
      <c r="B715" s="156">
        <v>45258</v>
      </c>
      <c r="C715" s="157">
        <v>29227.61</v>
      </c>
    </row>
    <row r="716" spans="2:3">
      <c r="B716" s="156">
        <v>45254</v>
      </c>
      <c r="C716" s="157">
        <v>29087.95</v>
      </c>
    </row>
    <row r="717" spans="2:3">
      <c r="B717" s="156">
        <v>45253</v>
      </c>
      <c r="C717" s="157">
        <v>29098.74</v>
      </c>
    </row>
    <row r="718" spans="2:3">
      <c r="B718" s="156">
        <v>45252</v>
      </c>
      <c r="C718" s="157">
        <v>29113.18</v>
      </c>
    </row>
    <row r="719" spans="2:3">
      <c r="B719" s="156">
        <v>45251</v>
      </c>
      <c r="C719" s="157">
        <v>29071.360000000001</v>
      </c>
    </row>
    <row r="720" spans="2:3">
      <c r="B720" s="156">
        <v>45250</v>
      </c>
      <c r="C720" s="157">
        <v>28939.98</v>
      </c>
    </row>
    <row r="721" spans="2:3">
      <c r="B721" s="156">
        <v>45247</v>
      </c>
      <c r="C721" s="157">
        <v>28995.52</v>
      </c>
    </row>
    <row r="722" spans="2:3">
      <c r="B722" s="156">
        <v>45246</v>
      </c>
      <c r="C722" s="157">
        <v>29044.66</v>
      </c>
    </row>
    <row r="723" spans="2:3">
      <c r="B723" s="156">
        <v>45245</v>
      </c>
      <c r="C723" s="157">
        <v>28906.7</v>
      </c>
    </row>
    <row r="724" spans="2:3">
      <c r="B724" s="156">
        <v>45243</v>
      </c>
      <c r="C724" s="157">
        <v>28565.95</v>
      </c>
    </row>
    <row r="725" spans="2:3">
      <c r="B725" s="156">
        <v>45242</v>
      </c>
      <c r="C725" s="157">
        <v>28686.47</v>
      </c>
    </row>
    <row r="726" spans="2:3">
      <c r="B726" s="156">
        <v>45240</v>
      </c>
      <c r="C726" s="157">
        <v>28539.24</v>
      </c>
    </row>
    <row r="727" spans="2:3">
      <c r="B727" s="156">
        <v>45239</v>
      </c>
      <c r="C727" s="157">
        <v>28495.08</v>
      </c>
    </row>
    <row r="728" spans="2:3">
      <c r="B728" s="156">
        <v>45238</v>
      </c>
      <c r="C728" s="157">
        <v>28565.86</v>
      </c>
    </row>
    <row r="729" spans="2:3">
      <c r="B729" s="156">
        <v>45237</v>
      </c>
      <c r="C729" s="157">
        <v>28511.81</v>
      </c>
    </row>
    <row r="730" spans="2:3">
      <c r="B730" s="156">
        <v>45236</v>
      </c>
      <c r="C730" s="157">
        <v>28519.25</v>
      </c>
    </row>
    <row r="731" spans="2:3">
      <c r="B731" s="156">
        <v>45233</v>
      </c>
      <c r="C731" s="157">
        <v>28253.09</v>
      </c>
    </row>
    <row r="732" spans="2:3">
      <c r="B732" s="156">
        <v>45232</v>
      </c>
      <c r="C732" s="157">
        <v>28105.75</v>
      </c>
    </row>
    <row r="733" spans="2:3">
      <c r="B733" s="156">
        <v>45231</v>
      </c>
      <c r="C733" s="157">
        <v>27886.240000000002</v>
      </c>
    </row>
    <row r="734" spans="2:3">
      <c r="B734" s="156">
        <v>45230</v>
      </c>
      <c r="C734" s="157">
        <v>28017.360000000001</v>
      </c>
    </row>
    <row r="735" spans="2:3">
      <c r="B735" s="156">
        <v>45229</v>
      </c>
      <c r="C735" s="157">
        <v>28107.42</v>
      </c>
    </row>
    <row r="736" spans="2:3">
      <c r="B736" s="156">
        <v>45226</v>
      </c>
      <c r="C736" s="157">
        <v>27969.919999999998</v>
      </c>
    </row>
    <row r="737" spans="2:3">
      <c r="B737" s="156">
        <v>45225</v>
      </c>
      <c r="C737" s="157">
        <v>27690.29</v>
      </c>
    </row>
    <row r="738" spans="2:3">
      <c r="B738" s="156">
        <v>45224</v>
      </c>
      <c r="C738" s="157">
        <v>28079.26</v>
      </c>
    </row>
    <row r="739" spans="2:3">
      <c r="B739" s="156">
        <v>45222</v>
      </c>
      <c r="C739" s="157">
        <v>28291.96</v>
      </c>
    </row>
    <row r="740" spans="2:3">
      <c r="B740" s="156">
        <v>45219</v>
      </c>
      <c r="C740" s="157">
        <v>28674.78</v>
      </c>
    </row>
    <row r="741" spans="2:3">
      <c r="B741" s="156">
        <v>45218</v>
      </c>
      <c r="C741" s="157">
        <v>28790.880000000001</v>
      </c>
    </row>
    <row r="742" spans="2:3">
      <c r="B742" s="156">
        <v>45217</v>
      </c>
      <c r="C742" s="157">
        <v>28855.87</v>
      </c>
    </row>
    <row r="743" spans="2:3">
      <c r="B743" s="156">
        <v>45216</v>
      </c>
      <c r="C743" s="157">
        <v>29061.8</v>
      </c>
    </row>
    <row r="744" spans="2:3">
      <c r="B744" s="156">
        <v>45215</v>
      </c>
      <c r="C744" s="157">
        <v>28944.87</v>
      </c>
    </row>
    <row r="745" spans="2:3">
      <c r="B745" s="156">
        <v>45212</v>
      </c>
      <c r="C745" s="157">
        <v>28973.14</v>
      </c>
    </row>
    <row r="746" spans="2:3">
      <c r="B746" s="156">
        <v>45211</v>
      </c>
      <c r="C746" s="157">
        <v>29036.17</v>
      </c>
    </row>
    <row r="747" spans="2:3">
      <c r="B747" s="156">
        <v>45210</v>
      </c>
      <c r="C747" s="157">
        <v>29061.61</v>
      </c>
    </row>
    <row r="748" spans="2:3">
      <c r="B748" s="156">
        <v>45209</v>
      </c>
      <c r="C748" s="157">
        <v>28883.35</v>
      </c>
    </row>
    <row r="749" spans="2:3">
      <c r="B749" s="156">
        <v>45208</v>
      </c>
      <c r="C749" s="157">
        <v>28622.98</v>
      </c>
    </row>
    <row r="750" spans="2:3">
      <c r="B750" s="156">
        <v>45205</v>
      </c>
      <c r="C750" s="157">
        <v>28830.080000000002</v>
      </c>
    </row>
    <row r="751" spans="2:3">
      <c r="B751" s="156">
        <v>45204</v>
      </c>
      <c r="C751" s="157">
        <v>28671.97</v>
      </c>
    </row>
    <row r="752" spans="2:3">
      <c r="B752" s="156">
        <v>45203</v>
      </c>
      <c r="C752" s="157">
        <v>28511.13</v>
      </c>
    </row>
    <row r="753" spans="2:3">
      <c r="B753" s="156">
        <v>45202</v>
      </c>
      <c r="C753" s="157">
        <v>28647.040000000001</v>
      </c>
    </row>
    <row r="754" spans="2:3">
      <c r="B754" s="156">
        <v>45198</v>
      </c>
      <c r="C754" s="157">
        <v>28807.77</v>
      </c>
    </row>
    <row r="755" spans="2:3">
      <c r="B755" s="156">
        <v>45197</v>
      </c>
      <c r="C755" s="157">
        <v>28639.439999999999</v>
      </c>
    </row>
    <row r="756" spans="2:3">
      <c r="B756" s="156">
        <v>45196</v>
      </c>
      <c r="C756" s="157">
        <v>28922.43</v>
      </c>
    </row>
    <row r="757" spans="2:3">
      <c r="B757" s="156">
        <v>45195</v>
      </c>
      <c r="C757" s="157">
        <v>28846.47</v>
      </c>
    </row>
    <row r="758" spans="2:3">
      <c r="B758" s="156">
        <v>45194</v>
      </c>
      <c r="C758" s="157">
        <v>28860.9</v>
      </c>
    </row>
    <row r="759" spans="2:3">
      <c r="B759" s="156">
        <v>45191</v>
      </c>
      <c r="C759" s="157">
        <v>28860.46</v>
      </c>
    </row>
    <row r="760" spans="2:3">
      <c r="B760" s="156">
        <v>45190</v>
      </c>
      <c r="C760" s="157">
        <v>28960.36</v>
      </c>
    </row>
    <row r="761" spans="2:3">
      <c r="B761" s="156">
        <v>45189</v>
      </c>
      <c r="C761" s="157">
        <v>29193.69</v>
      </c>
    </row>
    <row r="762" spans="2:3">
      <c r="B762" s="156">
        <v>45187</v>
      </c>
      <c r="C762" s="157">
        <v>29533.91</v>
      </c>
    </row>
    <row r="763" spans="2:3">
      <c r="B763" s="156">
        <v>45184</v>
      </c>
      <c r="C763" s="157">
        <v>29620.53</v>
      </c>
    </row>
    <row r="764" spans="2:3">
      <c r="B764" s="156">
        <v>45183</v>
      </c>
      <c r="C764" s="157">
        <v>29489.61</v>
      </c>
    </row>
    <row r="765" spans="2:3">
      <c r="B765" s="156">
        <v>45182</v>
      </c>
      <c r="C765" s="157">
        <v>29441.040000000001</v>
      </c>
    </row>
    <row r="766" spans="2:3">
      <c r="B766" s="156">
        <v>45181</v>
      </c>
      <c r="C766" s="157">
        <v>29328.37</v>
      </c>
    </row>
    <row r="767" spans="2:3">
      <c r="B767" s="156">
        <v>45180</v>
      </c>
      <c r="C767" s="157">
        <v>29333</v>
      </c>
    </row>
    <row r="768" spans="2:3">
      <c r="B768" s="156">
        <v>45177</v>
      </c>
      <c r="C768" s="157">
        <v>29074.22</v>
      </c>
    </row>
    <row r="769" spans="2:3">
      <c r="B769" s="156">
        <v>45176</v>
      </c>
      <c r="C769" s="157">
        <v>28937.96</v>
      </c>
    </row>
    <row r="770" spans="2:3">
      <c r="B770" s="156">
        <v>45175</v>
      </c>
      <c r="C770" s="157">
        <v>28767.78</v>
      </c>
    </row>
    <row r="771" spans="2:3">
      <c r="B771" s="156">
        <v>45174</v>
      </c>
      <c r="C771" s="157">
        <v>28714.78</v>
      </c>
    </row>
    <row r="772" spans="2:3">
      <c r="B772" s="156">
        <v>45173</v>
      </c>
      <c r="C772" s="157">
        <v>28647.16</v>
      </c>
    </row>
    <row r="773" spans="2:3">
      <c r="B773" s="156">
        <v>45170</v>
      </c>
      <c r="C773" s="157">
        <v>28509.94</v>
      </c>
    </row>
    <row r="774" spans="2:3">
      <c r="B774" s="156">
        <v>45169</v>
      </c>
      <c r="C774" s="157">
        <v>28243.74</v>
      </c>
    </row>
    <row r="775" spans="2:3">
      <c r="B775" s="156">
        <v>45168</v>
      </c>
      <c r="C775" s="157">
        <v>28381.13</v>
      </c>
    </row>
    <row r="776" spans="2:3">
      <c r="B776" s="156">
        <v>45167</v>
      </c>
      <c r="C776" s="157">
        <v>28374.03</v>
      </c>
    </row>
    <row r="777" spans="2:3">
      <c r="B777" s="156">
        <v>45166</v>
      </c>
      <c r="C777" s="157">
        <v>28320.400000000001</v>
      </c>
    </row>
    <row r="778" spans="2:3">
      <c r="B778" s="156">
        <v>45163</v>
      </c>
      <c r="C778" s="157">
        <v>28261.32</v>
      </c>
    </row>
    <row r="779" spans="2:3">
      <c r="B779" s="156">
        <v>45162</v>
      </c>
      <c r="C779" s="157">
        <v>28438.68</v>
      </c>
    </row>
    <row r="780" spans="2:3">
      <c r="B780" s="156">
        <v>45161</v>
      </c>
      <c r="C780" s="157">
        <v>28522.76</v>
      </c>
    </row>
    <row r="781" spans="2:3">
      <c r="B781" s="156">
        <v>45160</v>
      </c>
      <c r="C781" s="157">
        <v>28453.01</v>
      </c>
    </row>
    <row r="782" spans="2:3">
      <c r="B782" s="156">
        <v>45159</v>
      </c>
      <c r="C782" s="157">
        <v>28448.83</v>
      </c>
    </row>
    <row r="783" spans="2:3">
      <c r="B783" s="156">
        <v>45156</v>
      </c>
      <c r="C783" s="157">
        <v>28316.31</v>
      </c>
    </row>
    <row r="784" spans="2:3">
      <c r="B784" s="156">
        <v>45155</v>
      </c>
      <c r="C784" s="157">
        <v>28393.16</v>
      </c>
    </row>
    <row r="785" spans="2:3">
      <c r="B785" s="156">
        <v>45154</v>
      </c>
      <c r="C785" s="157">
        <v>28539.38</v>
      </c>
    </row>
    <row r="786" spans="2:3">
      <c r="B786" s="156">
        <v>45152</v>
      </c>
      <c r="C786" s="157">
        <v>28494.78</v>
      </c>
    </row>
    <row r="787" spans="2:3">
      <c r="B787" s="156">
        <v>45149</v>
      </c>
      <c r="C787" s="157">
        <v>28482.45</v>
      </c>
    </row>
    <row r="788" spans="2:3">
      <c r="B788" s="156">
        <v>45148</v>
      </c>
      <c r="C788" s="157">
        <v>28638.92</v>
      </c>
    </row>
    <row r="789" spans="2:3">
      <c r="B789" s="156">
        <v>45147</v>
      </c>
      <c r="C789" s="157">
        <v>28769.97</v>
      </c>
    </row>
    <row r="790" spans="2:3">
      <c r="B790" s="156">
        <v>45146</v>
      </c>
      <c r="C790" s="157">
        <v>28661.08</v>
      </c>
    </row>
    <row r="791" spans="2:3">
      <c r="B791" s="156">
        <v>45145</v>
      </c>
      <c r="C791" s="157">
        <v>28699.8</v>
      </c>
    </row>
    <row r="792" spans="2:3">
      <c r="B792" s="156">
        <v>45142</v>
      </c>
      <c r="C792" s="157">
        <v>28582.25</v>
      </c>
    </row>
    <row r="793" spans="2:3">
      <c r="B793" s="156">
        <v>45141</v>
      </c>
      <c r="C793" s="157">
        <v>28383.279999999999</v>
      </c>
    </row>
    <row r="794" spans="2:3">
      <c r="B794" s="156">
        <v>45140</v>
      </c>
      <c r="C794" s="157">
        <v>28589.81</v>
      </c>
    </row>
    <row r="795" spans="2:3">
      <c r="B795" s="156">
        <v>45139</v>
      </c>
      <c r="C795" s="157">
        <v>28880.78</v>
      </c>
    </row>
    <row r="796" spans="2:3">
      <c r="B796" s="156">
        <v>45138</v>
      </c>
      <c r="C796" s="157">
        <v>28910.43</v>
      </c>
    </row>
    <row r="797" spans="2:3">
      <c r="B797" s="156">
        <v>45135</v>
      </c>
      <c r="C797" s="157">
        <v>28752.69</v>
      </c>
    </row>
    <row r="798" spans="2:3">
      <c r="B798" s="156">
        <v>45134</v>
      </c>
      <c r="C798" s="157">
        <v>28769.02</v>
      </c>
    </row>
    <row r="799" spans="2:3">
      <c r="B799" s="156">
        <v>45133</v>
      </c>
      <c r="C799" s="157">
        <v>28939.3</v>
      </c>
    </row>
    <row r="800" spans="2:3">
      <c r="B800" s="156">
        <v>45132</v>
      </c>
      <c r="C800" s="157">
        <v>28796.35</v>
      </c>
    </row>
    <row r="801" spans="2:3">
      <c r="B801" s="156">
        <v>45131</v>
      </c>
      <c r="C801" s="157">
        <v>28784.26</v>
      </c>
    </row>
    <row r="802" spans="2:3">
      <c r="B802" s="156">
        <v>45128</v>
      </c>
      <c r="C802" s="157">
        <v>28890.53</v>
      </c>
    </row>
    <row r="803" spans="2:3">
      <c r="B803" s="156">
        <v>45127</v>
      </c>
      <c r="C803" s="157">
        <v>29231.71</v>
      </c>
    </row>
    <row r="804" spans="2:3">
      <c r="B804" s="156">
        <v>45126</v>
      </c>
      <c r="C804" s="157">
        <v>29011.55</v>
      </c>
    </row>
    <row r="805" spans="2:3">
      <c r="B805" s="156">
        <v>45125</v>
      </c>
      <c r="C805" s="157">
        <v>28888.85</v>
      </c>
    </row>
    <row r="806" spans="2:3">
      <c r="B806" s="156">
        <v>45124</v>
      </c>
      <c r="C806" s="157">
        <v>28833.54</v>
      </c>
    </row>
    <row r="807" spans="2:3">
      <c r="B807" s="156">
        <v>45121</v>
      </c>
      <c r="C807" s="157">
        <v>28618.6</v>
      </c>
    </row>
    <row r="808" spans="2:3">
      <c r="B808" s="156">
        <v>45120</v>
      </c>
      <c r="C808" s="157">
        <v>28393.32</v>
      </c>
    </row>
    <row r="809" spans="2:3">
      <c r="B809" s="156">
        <v>45119</v>
      </c>
      <c r="C809" s="157">
        <v>28348.880000000001</v>
      </c>
    </row>
    <row r="810" spans="2:3">
      <c r="B810" s="156">
        <v>45118</v>
      </c>
      <c r="C810" s="157">
        <v>28429.42</v>
      </c>
    </row>
    <row r="811" spans="2:3">
      <c r="B811" s="156">
        <v>45117</v>
      </c>
      <c r="C811" s="157">
        <v>28304.66</v>
      </c>
    </row>
    <row r="812" spans="2:3">
      <c r="B812" s="156">
        <v>45114</v>
      </c>
      <c r="C812" s="157">
        <v>28269.43</v>
      </c>
    </row>
    <row r="813" spans="2:3">
      <c r="B813" s="156">
        <v>45113</v>
      </c>
      <c r="C813" s="157">
        <v>28510.39</v>
      </c>
    </row>
    <row r="814" spans="2:3">
      <c r="B814" s="156">
        <v>45112</v>
      </c>
      <c r="C814" s="157">
        <v>28365.96</v>
      </c>
    </row>
    <row r="815" spans="2:3">
      <c r="B815" s="156">
        <v>45111</v>
      </c>
      <c r="C815" s="157">
        <v>28352.01</v>
      </c>
    </row>
    <row r="816" spans="2:3">
      <c r="B816" s="156">
        <v>45110</v>
      </c>
      <c r="C816" s="157">
        <v>28254.9</v>
      </c>
    </row>
    <row r="817" spans="2:3">
      <c r="B817" s="156">
        <v>45107</v>
      </c>
      <c r="C817" s="157">
        <v>28059.65</v>
      </c>
    </row>
    <row r="818" spans="2:3">
      <c r="B818" s="156">
        <v>45105</v>
      </c>
      <c r="C818" s="157">
        <v>27739.64</v>
      </c>
    </row>
    <row r="819" spans="2:3">
      <c r="B819" s="156">
        <v>45104</v>
      </c>
      <c r="C819" s="157">
        <v>27513.45</v>
      </c>
    </row>
    <row r="820" spans="2:3">
      <c r="B820" s="156">
        <v>45103</v>
      </c>
      <c r="C820" s="157">
        <v>27328.91</v>
      </c>
    </row>
    <row r="821" spans="2:3">
      <c r="B821" s="156">
        <v>45100</v>
      </c>
      <c r="C821" s="157">
        <v>27291.39</v>
      </c>
    </row>
    <row r="822" spans="2:3">
      <c r="B822" s="156">
        <v>45099</v>
      </c>
      <c r="C822" s="157">
        <v>27445.97</v>
      </c>
    </row>
    <row r="823" spans="2:3">
      <c r="B823" s="156">
        <v>45098</v>
      </c>
      <c r="C823" s="157">
        <v>27571.14</v>
      </c>
    </row>
    <row r="824" spans="2:3">
      <c r="B824" s="156">
        <v>45097</v>
      </c>
      <c r="C824" s="157">
        <v>27512.41</v>
      </c>
    </row>
    <row r="825" spans="2:3">
      <c r="B825" s="156">
        <v>45096</v>
      </c>
      <c r="C825" s="157">
        <v>27422.87</v>
      </c>
    </row>
    <row r="826" spans="2:3">
      <c r="B826" s="156">
        <v>45093</v>
      </c>
      <c r="C826" s="157">
        <v>27519.439999999999</v>
      </c>
    </row>
    <row r="827" spans="2:3">
      <c r="B827" s="156">
        <v>45092</v>
      </c>
      <c r="C827" s="157">
        <v>27317.25</v>
      </c>
    </row>
    <row r="828" spans="2:3">
      <c r="B828" s="156">
        <v>45091</v>
      </c>
      <c r="C828" s="157">
        <v>27408.12</v>
      </c>
    </row>
    <row r="829" spans="2:3">
      <c r="B829" s="156">
        <v>45090</v>
      </c>
      <c r="C829" s="157">
        <v>27350.09</v>
      </c>
    </row>
    <row r="830" spans="2:3">
      <c r="B830" s="156">
        <v>45089</v>
      </c>
      <c r="C830" s="157">
        <v>27182.55</v>
      </c>
    </row>
    <row r="831" spans="2:3">
      <c r="B831" s="156">
        <v>45086</v>
      </c>
      <c r="C831" s="157">
        <v>27126.86</v>
      </c>
    </row>
    <row r="832" spans="2:3">
      <c r="B832" s="156">
        <v>45085</v>
      </c>
      <c r="C832" s="157">
        <v>27227.59</v>
      </c>
    </row>
    <row r="833" spans="2:3">
      <c r="B833" s="156">
        <v>45084</v>
      </c>
      <c r="C833" s="157">
        <v>27361.85</v>
      </c>
    </row>
    <row r="834" spans="2:3">
      <c r="B834" s="156">
        <v>45083</v>
      </c>
      <c r="C834" s="157">
        <v>27175.7</v>
      </c>
    </row>
    <row r="835" spans="2:3">
      <c r="B835" s="156">
        <v>45082</v>
      </c>
      <c r="C835" s="157">
        <v>27168.13</v>
      </c>
    </row>
    <row r="836" spans="2:3">
      <c r="B836" s="156">
        <v>45079</v>
      </c>
      <c r="C836" s="157">
        <v>27080.87</v>
      </c>
    </row>
    <row r="837" spans="2:3">
      <c r="B837" s="156">
        <v>45078</v>
      </c>
      <c r="C837" s="157">
        <v>26989.35</v>
      </c>
    </row>
    <row r="838" spans="2:3">
      <c r="B838" s="156">
        <v>45077</v>
      </c>
      <c r="C838" s="157">
        <v>27057.439999999999</v>
      </c>
    </row>
    <row r="839" spans="2:3">
      <c r="B839" s="156">
        <v>45076</v>
      </c>
      <c r="C839" s="157">
        <v>27188.18</v>
      </c>
    </row>
    <row r="840" spans="2:3">
      <c r="B840" s="156">
        <v>45075</v>
      </c>
      <c r="C840" s="157">
        <v>27136.82</v>
      </c>
    </row>
    <row r="841" spans="2:3">
      <c r="B841" s="156">
        <v>45072</v>
      </c>
      <c r="C841" s="157">
        <v>26991.87</v>
      </c>
    </row>
    <row r="842" spans="2:3">
      <c r="B842" s="156">
        <v>45071</v>
      </c>
      <c r="C842" s="157">
        <v>26731.86</v>
      </c>
    </row>
    <row r="843" spans="2:3">
      <c r="B843" s="156">
        <v>45070</v>
      </c>
      <c r="C843" s="157">
        <v>26679.72</v>
      </c>
    </row>
    <row r="844" spans="2:3">
      <c r="B844" s="156">
        <v>45069</v>
      </c>
      <c r="C844" s="157">
        <v>26771.1</v>
      </c>
    </row>
    <row r="845" spans="2:3">
      <c r="B845" s="156">
        <v>45068</v>
      </c>
      <c r="C845" s="157">
        <v>26722.03</v>
      </c>
    </row>
    <row r="846" spans="2:3">
      <c r="B846" s="156">
        <v>45065</v>
      </c>
      <c r="C846" s="157">
        <v>26560.1</v>
      </c>
    </row>
    <row r="847" spans="2:3">
      <c r="B847" s="156">
        <v>45064</v>
      </c>
      <c r="C847" s="157">
        <v>26451.26</v>
      </c>
    </row>
    <row r="848" spans="2:3">
      <c r="B848" s="156">
        <v>45063</v>
      </c>
      <c r="C848" s="157">
        <v>26526.82</v>
      </c>
    </row>
    <row r="849" spans="2:3">
      <c r="B849" s="156">
        <v>45062</v>
      </c>
      <c r="C849" s="157">
        <v>26679.67</v>
      </c>
    </row>
    <row r="850" spans="2:3">
      <c r="B850" s="156">
        <v>45061</v>
      </c>
      <c r="C850" s="157">
        <v>26789.02</v>
      </c>
    </row>
    <row r="851" spans="2:3">
      <c r="B851" s="156">
        <v>45058</v>
      </c>
      <c r="C851" s="157">
        <v>26666.67</v>
      </c>
    </row>
    <row r="852" spans="2:3">
      <c r="B852" s="156">
        <v>45057</v>
      </c>
      <c r="C852" s="157">
        <v>26640.77</v>
      </c>
    </row>
    <row r="853" spans="2:3">
      <c r="B853" s="156">
        <v>45056</v>
      </c>
      <c r="C853" s="157">
        <v>26667.11</v>
      </c>
    </row>
    <row r="854" spans="2:3">
      <c r="B854" s="156">
        <v>45055</v>
      </c>
      <c r="C854" s="157">
        <v>26595.52</v>
      </c>
    </row>
    <row r="855" spans="2:3">
      <c r="B855" s="156">
        <v>45054</v>
      </c>
      <c r="C855" s="157">
        <v>26593.29</v>
      </c>
    </row>
    <row r="856" spans="2:3">
      <c r="B856" s="156">
        <v>45051</v>
      </c>
      <c r="C856" s="157">
        <v>26308.78</v>
      </c>
    </row>
    <row r="857" spans="2:3">
      <c r="B857" s="156">
        <v>45050</v>
      </c>
      <c r="C857" s="157">
        <v>26580.77</v>
      </c>
    </row>
    <row r="858" spans="2:3">
      <c r="B858" s="156">
        <v>45049</v>
      </c>
      <c r="C858" s="157">
        <v>26339.14</v>
      </c>
    </row>
    <row r="859" spans="2:3">
      <c r="B859" s="156">
        <v>45048</v>
      </c>
      <c r="C859" s="157">
        <v>26423.3</v>
      </c>
    </row>
    <row r="860" spans="2:3">
      <c r="B860" s="156">
        <v>45044</v>
      </c>
      <c r="C860" s="157">
        <v>26302.92</v>
      </c>
    </row>
    <row r="861" spans="2:3">
      <c r="B861" s="156">
        <v>45043</v>
      </c>
      <c r="C861" s="157">
        <v>26078.38</v>
      </c>
    </row>
    <row r="862" spans="2:3">
      <c r="B862" s="156">
        <v>45042</v>
      </c>
      <c r="C862" s="157">
        <v>25930.7</v>
      </c>
    </row>
    <row r="863" spans="2:3">
      <c r="B863" s="156">
        <v>45041</v>
      </c>
      <c r="C863" s="157">
        <v>25866.09</v>
      </c>
    </row>
    <row r="864" spans="2:3">
      <c r="B864" s="156">
        <v>45040</v>
      </c>
      <c r="C864" s="157">
        <v>25828.46</v>
      </c>
    </row>
    <row r="865" spans="2:3">
      <c r="B865" s="156">
        <v>45037</v>
      </c>
      <c r="C865" s="157">
        <v>25654.78</v>
      </c>
    </row>
    <row r="866" spans="2:3">
      <c r="B866" s="156">
        <v>45036</v>
      </c>
      <c r="C866" s="157">
        <v>25654.16</v>
      </c>
    </row>
    <row r="867" spans="2:3">
      <c r="B867" s="156">
        <v>45035</v>
      </c>
      <c r="C867" s="157">
        <v>25645.82</v>
      </c>
    </row>
    <row r="868" spans="2:3">
      <c r="B868" s="156">
        <v>45034</v>
      </c>
      <c r="C868" s="157">
        <v>25706.09</v>
      </c>
    </row>
    <row r="869" spans="2:3">
      <c r="B869" s="156">
        <v>45033</v>
      </c>
      <c r="C869" s="157">
        <v>25774.07</v>
      </c>
    </row>
    <row r="870" spans="2:3">
      <c r="B870" s="156">
        <v>45029</v>
      </c>
      <c r="C870" s="157">
        <v>25950.39</v>
      </c>
    </row>
    <row r="871" spans="2:3">
      <c r="B871" s="156">
        <v>45028</v>
      </c>
      <c r="C871" s="157">
        <v>25924.89</v>
      </c>
    </row>
    <row r="872" spans="2:3">
      <c r="B872" s="156">
        <v>45027</v>
      </c>
      <c r="C872" s="157">
        <v>25793.77</v>
      </c>
    </row>
    <row r="873" spans="2:3">
      <c r="B873" s="156">
        <v>45026</v>
      </c>
      <c r="C873" s="157">
        <v>25650.73</v>
      </c>
    </row>
    <row r="874" spans="2:3">
      <c r="B874" s="156">
        <v>45022</v>
      </c>
      <c r="C874" s="157">
        <v>25614.55</v>
      </c>
    </row>
    <row r="875" spans="2:3">
      <c r="B875" s="156">
        <v>45021</v>
      </c>
      <c r="C875" s="157">
        <v>25553.279999999999</v>
      </c>
    </row>
    <row r="876" spans="2:3">
      <c r="B876" s="156">
        <v>45019</v>
      </c>
      <c r="C876" s="157">
        <v>25321.85</v>
      </c>
    </row>
    <row r="877" spans="2:3">
      <c r="B877" s="156">
        <v>45016</v>
      </c>
      <c r="C877" s="157">
        <v>25266.06</v>
      </c>
    </row>
    <row r="878" spans="2:3">
      <c r="B878" s="156">
        <v>45014</v>
      </c>
      <c r="C878" s="157">
        <v>24859.93</v>
      </c>
    </row>
    <row r="879" spans="2:3">
      <c r="B879" s="156">
        <v>45013</v>
      </c>
      <c r="C879" s="157">
        <v>24672.17</v>
      </c>
    </row>
    <row r="880" spans="2:3">
      <c r="B880" s="156">
        <v>45012</v>
      </c>
      <c r="C880" s="157">
        <v>24721.71</v>
      </c>
    </row>
    <row r="881" spans="2:3">
      <c r="B881" s="156">
        <v>45009</v>
      </c>
      <c r="C881" s="157">
        <v>24662.53</v>
      </c>
    </row>
    <row r="882" spans="2:3">
      <c r="B882" s="156">
        <v>45008</v>
      </c>
      <c r="C882" s="157">
        <v>24854.39</v>
      </c>
    </row>
    <row r="883" spans="2:3">
      <c r="B883" s="156">
        <v>45007</v>
      </c>
      <c r="C883" s="157">
        <v>24963.55</v>
      </c>
    </row>
    <row r="884" spans="2:3">
      <c r="B884" s="156">
        <v>45006</v>
      </c>
      <c r="C884" s="157">
        <v>24898.97</v>
      </c>
    </row>
    <row r="885" spans="2:3">
      <c r="B885" s="156">
        <v>45005</v>
      </c>
      <c r="C885" s="157">
        <v>24725.599999999999</v>
      </c>
    </row>
    <row r="886" spans="2:3">
      <c r="B886" s="156">
        <v>45002</v>
      </c>
      <c r="C886" s="157">
        <v>24888.1</v>
      </c>
    </row>
    <row r="887" spans="2:3">
      <c r="B887" s="156">
        <v>45001</v>
      </c>
      <c r="C887" s="157">
        <v>24721.52</v>
      </c>
    </row>
    <row r="888" spans="2:3">
      <c r="B888" s="156">
        <v>45000</v>
      </c>
      <c r="C888" s="157">
        <v>24701.599999999999</v>
      </c>
    </row>
    <row r="889" spans="2:3">
      <c r="B889" s="156">
        <v>44999</v>
      </c>
      <c r="C889" s="157">
        <v>24805.11</v>
      </c>
    </row>
    <row r="890" spans="2:3">
      <c r="B890" s="156">
        <v>44998</v>
      </c>
      <c r="C890" s="157">
        <v>24966.68</v>
      </c>
    </row>
    <row r="891" spans="2:3">
      <c r="B891" s="156">
        <v>44995</v>
      </c>
      <c r="C891" s="157">
        <v>25343.09</v>
      </c>
    </row>
    <row r="892" spans="2:3">
      <c r="B892" s="156">
        <v>44994</v>
      </c>
      <c r="C892" s="157">
        <v>25600.240000000002</v>
      </c>
    </row>
    <row r="893" spans="2:3">
      <c r="B893" s="156">
        <v>44993</v>
      </c>
      <c r="C893" s="157">
        <v>25840.12</v>
      </c>
    </row>
    <row r="894" spans="2:3">
      <c r="B894" s="156">
        <v>44991</v>
      </c>
      <c r="C894" s="157">
        <v>25777.599999999999</v>
      </c>
    </row>
    <row r="895" spans="2:3">
      <c r="B895" s="156">
        <v>44988</v>
      </c>
      <c r="C895" s="157">
        <v>25607.14</v>
      </c>
    </row>
    <row r="896" spans="2:3">
      <c r="B896" s="156">
        <v>44987</v>
      </c>
      <c r="C896" s="157">
        <v>25210.65</v>
      </c>
    </row>
    <row r="897" spans="2:3">
      <c r="B897" s="156">
        <v>44986</v>
      </c>
      <c r="C897" s="157">
        <v>25398.400000000001</v>
      </c>
    </row>
    <row r="898" spans="2:3">
      <c r="B898" s="156">
        <v>44985</v>
      </c>
      <c r="C898" s="157">
        <v>25184.47</v>
      </c>
    </row>
    <row r="899" spans="2:3">
      <c r="B899" s="156">
        <v>44984</v>
      </c>
      <c r="C899" s="157">
        <v>25313.7</v>
      </c>
    </row>
    <row r="900" spans="2:3">
      <c r="B900" s="156">
        <v>44981</v>
      </c>
      <c r="C900" s="157">
        <v>25420.07</v>
      </c>
    </row>
    <row r="901" spans="2:3">
      <c r="B901" s="156">
        <v>44980</v>
      </c>
      <c r="C901" s="157">
        <v>25485.97</v>
      </c>
    </row>
    <row r="902" spans="2:3">
      <c r="B902" s="156">
        <v>44979</v>
      </c>
      <c r="C902" s="157">
        <v>25548.67</v>
      </c>
    </row>
    <row r="903" spans="2:3">
      <c r="B903" s="156">
        <v>44978</v>
      </c>
      <c r="C903" s="157">
        <v>25945.08</v>
      </c>
    </row>
    <row r="904" spans="2:3">
      <c r="B904" s="156">
        <v>44977</v>
      </c>
      <c r="C904" s="157">
        <v>25971.19</v>
      </c>
    </row>
    <row r="905" spans="2:3">
      <c r="B905" s="156">
        <v>44974</v>
      </c>
      <c r="C905" s="157">
        <v>26116.12</v>
      </c>
    </row>
    <row r="906" spans="2:3">
      <c r="B906" s="156">
        <v>44973</v>
      </c>
      <c r="C906" s="157">
        <v>26249.52</v>
      </c>
    </row>
    <row r="907" spans="2:3">
      <c r="B907" s="156">
        <v>44972</v>
      </c>
      <c r="C907" s="157">
        <v>26220.43</v>
      </c>
    </row>
    <row r="908" spans="2:3">
      <c r="B908" s="156">
        <v>44971</v>
      </c>
      <c r="C908" s="157">
        <v>26077.93</v>
      </c>
    </row>
    <row r="909" spans="2:3">
      <c r="B909" s="156">
        <v>44970</v>
      </c>
      <c r="C909" s="157">
        <v>25846.7</v>
      </c>
    </row>
    <row r="910" spans="2:3">
      <c r="B910" s="156">
        <v>44967</v>
      </c>
      <c r="C910" s="157">
        <v>25971.23</v>
      </c>
    </row>
    <row r="911" spans="2:3">
      <c r="B911" s="156">
        <v>44966</v>
      </c>
      <c r="C911" s="157">
        <v>26024.94</v>
      </c>
    </row>
    <row r="912" spans="2:3">
      <c r="B912" s="156">
        <v>44965</v>
      </c>
      <c r="C912" s="157">
        <v>25993.34</v>
      </c>
    </row>
    <row r="913" spans="2:3">
      <c r="B913" s="156">
        <v>44964</v>
      </c>
      <c r="C913" s="157">
        <v>25772.19</v>
      </c>
    </row>
    <row r="914" spans="2:3">
      <c r="B914" s="156">
        <v>44963</v>
      </c>
      <c r="C914" s="157">
        <v>25834.87</v>
      </c>
    </row>
    <row r="915" spans="2:3">
      <c r="B915" s="156">
        <v>44960</v>
      </c>
      <c r="C915" s="157">
        <v>25965</v>
      </c>
    </row>
    <row r="916" spans="2:3">
      <c r="B916" s="156">
        <v>44959</v>
      </c>
      <c r="C916" s="157">
        <v>25610.65</v>
      </c>
    </row>
    <row r="917" spans="2:3">
      <c r="B917" s="156">
        <v>44958</v>
      </c>
      <c r="C917" s="157">
        <v>25619.24</v>
      </c>
    </row>
    <row r="918" spans="2:3">
      <c r="B918" s="156">
        <v>44957</v>
      </c>
      <c r="C918" s="157">
        <v>25685.94</v>
      </c>
    </row>
    <row r="919" spans="2:3">
      <c r="B919" s="156">
        <v>44956</v>
      </c>
      <c r="C919" s="157">
        <v>25666.69</v>
      </c>
    </row>
    <row r="920" spans="2:3">
      <c r="B920" s="156">
        <v>44953</v>
      </c>
      <c r="C920" s="157">
        <v>25601.88</v>
      </c>
    </row>
    <row r="921" spans="2:3">
      <c r="B921" s="156">
        <v>44951</v>
      </c>
      <c r="C921" s="157">
        <v>26020.13</v>
      </c>
    </row>
    <row r="922" spans="2:3">
      <c r="B922" s="156">
        <v>44950</v>
      </c>
      <c r="C922" s="157">
        <v>26349.279999999999</v>
      </c>
    </row>
    <row r="923" spans="2:3">
      <c r="B923" s="156">
        <v>44949</v>
      </c>
      <c r="C923" s="157">
        <v>26349.14</v>
      </c>
    </row>
    <row r="924" spans="2:3">
      <c r="B924" s="156">
        <v>44946</v>
      </c>
      <c r="C924" s="157">
        <v>26216.94</v>
      </c>
    </row>
    <row r="925" spans="2:3">
      <c r="B925" s="156">
        <v>44945</v>
      </c>
      <c r="C925" s="157">
        <v>26333.57</v>
      </c>
    </row>
    <row r="926" spans="2:3">
      <c r="B926" s="156">
        <v>44944</v>
      </c>
      <c r="C926" s="157">
        <v>26413.71</v>
      </c>
    </row>
    <row r="927" spans="2:3">
      <c r="B927" s="156">
        <v>44943</v>
      </c>
      <c r="C927" s="157">
        <v>26250.81</v>
      </c>
    </row>
    <row r="928" spans="2:3">
      <c r="B928" s="156">
        <v>44942</v>
      </c>
      <c r="C928" s="157">
        <v>26020.39</v>
      </c>
    </row>
    <row r="929" spans="2:3">
      <c r="B929" s="156">
        <v>44939</v>
      </c>
      <c r="C929" s="157">
        <v>26110.2</v>
      </c>
    </row>
    <row r="930" spans="2:3">
      <c r="B930" s="156">
        <v>44938</v>
      </c>
      <c r="C930" s="157">
        <v>25967.07</v>
      </c>
    </row>
    <row r="931" spans="2:3">
      <c r="B931" s="156">
        <v>44937</v>
      </c>
      <c r="C931" s="157">
        <v>26021.599999999999</v>
      </c>
    </row>
    <row r="932" spans="2:3">
      <c r="B932" s="156">
        <v>44936</v>
      </c>
      <c r="C932" s="157">
        <v>26048.47</v>
      </c>
    </row>
    <row r="933" spans="2:3">
      <c r="B933" s="156">
        <v>44935</v>
      </c>
      <c r="C933" s="157">
        <v>26320.41</v>
      </c>
    </row>
    <row r="934" spans="2:3">
      <c r="B934" s="156">
        <v>44932</v>
      </c>
      <c r="C934" s="157">
        <v>25968.95</v>
      </c>
    </row>
    <row r="935" spans="2:3">
      <c r="B935" s="156">
        <v>44931</v>
      </c>
      <c r="C935" s="157">
        <v>26161.85</v>
      </c>
    </row>
    <row r="936" spans="2:3">
      <c r="B936" s="156">
        <v>44930</v>
      </c>
      <c r="C936" s="157">
        <v>26235.73</v>
      </c>
    </row>
    <row r="937" spans="2:3">
      <c r="B937" s="156">
        <v>44929</v>
      </c>
      <c r="C937" s="157">
        <v>26511.45</v>
      </c>
    </row>
    <row r="938" spans="2:3">
      <c r="B938" s="156">
        <v>44928</v>
      </c>
      <c r="C938" s="157">
        <v>26460.41</v>
      </c>
    </row>
    <row r="939" spans="2:3">
      <c r="B939" s="156">
        <v>44925</v>
      </c>
      <c r="C939" s="157">
        <v>26326.37</v>
      </c>
    </row>
    <row r="940" spans="2:3">
      <c r="B940" s="156">
        <v>44924</v>
      </c>
      <c r="C940" s="157">
        <v>26451.02</v>
      </c>
    </row>
    <row r="941" spans="2:3">
      <c r="B941" s="156">
        <v>44923</v>
      </c>
      <c r="C941" s="157">
        <v>26351.4</v>
      </c>
    </row>
    <row r="942" spans="2:3">
      <c r="B942" s="156">
        <v>44922</v>
      </c>
      <c r="C942" s="157">
        <v>26365.65</v>
      </c>
    </row>
    <row r="943" spans="2:3">
      <c r="B943" s="156">
        <v>44921</v>
      </c>
      <c r="C943" s="157">
        <v>26194.52</v>
      </c>
    </row>
    <row r="944" spans="2:3">
      <c r="B944" s="156">
        <v>44918</v>
      </c>
      <c r="C944" s="157">
        <v>25892.35</v>
      </c>
    </row>
    <row r="945" spans="2:3">
      <c r="B945" s="156">
        <v>44917</v>
      </c>
      <c r="C945" s="157">
        <v>26358.44</v>
      </c>
    </row>
    <row r="946" spans="2:3">
      <c r="B946" s="156">
        <v>44916</v>
      </c>
      <c r="C946" s="157">
        <v>26462.77</v>
      </c>
    </row>
    <row r="947" spans="2:3">
      <c r="B947" s="156">
        <v>44915</v>
      </c>
      <c r="C947" s="157">
        <v>26733.51</v>
      </c>
    </row>
    <row r="948" spans="2:3">
      <c r="B948" s="156">
        <v>44914</v>
      </c>
      <c r="C948" s="157">
        <v>26784.68</v>
      </c>
    </row>
    <row r="949" spans="2:3">
      <c r="B949" s="156">
        <v>44911</v>
      </c>
      <c r="C949" s="157">
        <v>26564.46</v>
      </c>
    </row>
    <row r="950" spans="2:3">
      <c r="B950" s="156">
        <v>44910</v>
      </c>
      <c r="C950" s="157">
        <v>26776.560000000001</v>
      </c>
    </row>
    <row r="951" spans="2:3">
      <c r="B951" s="156">
        <v>44909</v>
      </c>
      <c r="C951" s="157">
        <v>27133.4</v>
      </c>
    </row>
    <row r="952" spans="2:3">
      <c r="B952" s="156">
        <v>44908</v>
      </c>
      <c r="C952" s="157">
        <v>27057.35</v>
      </c>
    </row>
    <row r="953" spans="2:3">
      <c r="B953" s="156">
        <v>44907</v>
      </c>
      <c r="C953" s="157">
        <v>26896.21</v>
      </c>
    </row>
    <row r="954" spans="2:3">
      <c r="B954" s="156">
        <v>44904</v>
      </c>
      <c r="C954" s="157">
        <v>26895.35</v>
      </c>
    </row>
    <row r="955" spans="2:3">
      <c r="B955" s="156">
        <v>44903</v>
      </c>
      <c r="C955" s="157">
        <v>27059.31</v>
      </c>
    </row>
    <row r="956" spans="2:3">
      <c r="B956" s="156">
        <v>44902</v>
      </c>
      <c r="C956" s="157">
        <v>26988.31</v>
      </c>
    </row>
    <row r="957" spans="2:3">
      <c r="B957" s="156">
        <v>44901</v>
      </c>
      <c r="C957" s="157">
        <v>27107.87</v>
      </c>
    </row>
    <row r="958" spans="2:3">
      <c r="B958" s="156">
        <v>44900</v>
      </c>
      <c r="C958" s="157">
        <v>27192.639999999999</v>
      </c>
    </row>
    <row r="959" spans="2:3">
      <c r="B959" s="156">
        <v>44897</v>
      </c>
      <c r="C959" s="157">
        <v>27185.439999999999</v>
      </c>
    </row>
    <row r="960" spans="2:3">
      <c r="B960" s="156">
        <v>44896</v>
      </c>
      <c r="C960" s="157">
        <v>27354.74</v>
      </c>
    </row>
    <row r="961" spans="2:3">
      <c r="B961" s="156">
        <v>44895</v>
      </c>
      <c r="C961" s="157">
        <v>27276.01</v>
      </c>
    </row>
    <row r="962" spans="2:3">
      <c r="B962" s="156">
        <v>44894</v>
      </c>
      <c r="C962" s="157">
        <v>27071.98</v>
      </c>
    </row>
    <row r="963" spans="2:3">
      <c r="B963" s="156">
        <v>44893</v>
      </c>
      <c r="C963" s="157">
        <v>26991.599999999999</v>
      </c>
    </row>
    <row r="964" spans="2:3">
      <c r="B964" s="156">
        <v>44890</v>
      </c>
      <c r="C964" s="157">
        <v>26918.89</v>
      </c>
    </row>
    <row r="965" spans="2:3">
      <c r="B965" s="156">
        <v>44889</v>
      </c>
      <c r="C965" s="157">
        <v>26877.24</v>
      </c>
    </row>
    <row r="966" spans="2:3">
      <c r="B966" s="156">
        <v>44888</v>
      </c>
      <c r="C966" s="157">
        <v>26561.89</v>
      </c>
    </row>
    <row r="967" spans="2:3">
      <c r="B967" s="156">
        <v>44887</v>
      </c>
      <c r="C967" s="157">
        <v>26528.400000000001</v>
      </c>
    </row>
    <row r="968" spans="2:3">
      <c r="B968" s="156">
        <v>44886</v>
      </c>
      <c r="C968" s="157">
        <v>26405.9</v>
      </c>
    </row>
    <row r="969" spans="2:3">
      <c r="B969" s="156">
        <v>44883</v>
      </c>
      <c r="C969" s="157">
        <v>26620.61</v>
      </c>
    </row>
    <row r="970" spans="2:3">
      <c r="B970" s="156">
        <v>44882</v>
      </c>
      <c r="C970" s="157">
        <v>26673.32</v>
      </c>
    </row>
    <row r="971" spans="2:3">
      <c r="B971" s="156">
        <v>44881</v>
      </c>
      <c r="C971" s="157">
        <v>26768.95</v>
      </c>
    </row>
    <row r="972" spans="2:3">
      <c r="B972" s="156">
        <v>44880</v>
      </c>
      <c r="C972" s="157">
        <v>26759.85</v>
      </c>
    </row>
    <row r="973" spans="2:3">
      <c r="B973" s="156">
        <v>44879</v>
      </c>
      <c r="C973" s="157">
        <v>26651.93</v>
      </c>
    </row>
    <row r="974" spans="2:3">
      <c r="B974" s="156">
        <v>44876</v>
      </c>
      <c r="C974" s="157">
        <v>26681.759999999998</v>
      </c>
    </row>
    <row r="975" spans="2:3">
      <c r="B975" s="156">
        <v>44875</v>
      </c>
      <c r="C975" s="157">
        <v>26214.31</v>
      </c>
    </row>
    <row r="976" spans="2:3">
      <c r="B976" s="156">
        <v>44874</v>
      </c>
      <c r="C976" s="157">
        <v>26401.58</v>
      </c>
    </row>
    <row r="977" spans="2:3">
      <c r="B977" s="156">
        <v>44872</v>
      </c>
      <c r="C977" s="157">
        <v>26464.44</v>
      </c>
    </row>
    <row r="978" spans="2:3">
      <c r="B978" s="156">
        <v>44869</v>
      </c>
      <c r="C978" s="157">
        <v>26339.9</v>
      </c>
    </row>
    <row r="979" spans="2:3">
      <c r="B979" s="156">
        <v>44868</v>
      </c>
      <c r="C979" s="157">
        <v>26246.23</v>
      </c>
    </row>
    <row r="980" spans="2:3">
      <c r="B980" s="156">
        <v>44867</v>
      </c>
      <c r="C980" s="157">
        <v>26290.01</v>
      </c>
    </row>
    <row r="981" spans="2:3">
      <c r="B981" s="156">
        <v>44866</v>
      </c>
      <c r="C981" s="157">
        <v>26380.97</v>
      </c>
    </row>
    <row r="982" spans="2:3">
      <c r="B982" s="156">
        <v>44865</v>
      </c>
      <c r="C982" s="157">
        <v>26182.36</v>
      </c>
    </row>
    <row r="983" spans="2:3">
      <c r="B983" s="156">
        <v>44862</v>
      </c>
      <c r="C983" s="157">
        <v>25852.720000000001</v>
      </c>
    </row>
    <row r="984" spans="2:3">
      <c r="B984" s="156">
        <v>44861</v>
      </c>
      <c r="C984" s="157">
        <v>25780.23</v>
      </c>
    </row>
    <row r="985" spans="2:3">
      <c r="B985" s="156">
        <v>44859</v>
      </c>
      <c r="C985" s="157">
        <v>25643.34</v>
      </c>
    </row>
    <row r="986" spans="2:3">
      <c r="B986" s="156">
        <v>44858</v>
      </c>
      <c r="C986" s="157">
        <v>25751.45</v>
      </c>
    </row>
    <row r="987" spans="2:3">
      <c r="B987" s="156">
        <v>44855</v>
      </c>
      <c r="C987" s="157">
        <v>25527.09</v>
      </c>
    </row>
    <row r="988" spans="2:3">
      <c r="B988" s="156">
        <v>44854</v>
      </c>
      <c r="C988" s="157">
        <v>25509.14</v>
      </c>
    </row>
    <row r="989" spans="2:3">
      <c r="B989" s="156">
        <v>44853</v>
      </c>
      <c r="C989" s="157">
        <v>25434.1</v>
      </c>
    </row>
    <row r="990" spans="2:3">
      <c r="B990" s="156">
        <v>44852</v>
      </c>
      <c r="C990" s="157">
        <v>25393.89</v>
      </c>
    </row>
    <row r="991" spans="2:3">
      <c r="B991" s="156">
        <v>44851</v>
      </c>
      <c r="C991" s="157">
        <v>25139.55</v>
      </c>
    </row>
    <row r="992" spans="2:3">
      <c r="B992" s="156">
        <v>44848</v>
      </c>
      <c r="C992" s="157">
        <v>24953.75</v>
      </c>
    </row>
    <row r="993" spans="2:3">
      <c r="B993" s="156">
        <v>44847</v>
      </c>
      <c r="C993" s="157">
        <v>24704.95</v>
      </c>
    </row>
    <row r="994" spans="2:3">
      <c r="B994" s="156">
        <v>44846</v>
      </c>
      <c r="C994" s="157">
        <v>24863.58</v>
      </c>
    </row>
    <row r="995" spans="2:3">
      <c r="B995" s="156">
        <v>44845</v>
      </c>
      <c r="C995" s="157">
        <v>24660.2</v>
      </c>
    </row>
    <row r="996" spans="2:3">
      <c r="B996" s="156">
        <v>44844</v>
      </c>
      <c r="C996" s="157">
        <v>25034.02</v>
      </c>
    </row>
    <row r="997" spans="2:3">
      <c r="B997" s="156">
        <v>44841</v>
      </c>
      <c r="C997" s="157">
        <v>25140.99</v>
      </c>
    </row>
    <row r="998" spans="2:3">
      <c r="B998" s="156">
        <v>44840</v>
      </c>
      <c r="C998" s="157">
        <v>25165.85</v>
      </c>
    </row>
    <row r="999" spans="2:3">
      <c r="B999" s="156">
        <v>44838</v>
      </c>
      <c r="C999" s="157">
        <v>25082.39</v>
      </c>
    </row>
    <row r="1000" spans="2:3">
      <c r="B1000" s="156">
        <v>44837</v>
      </c>
      <c r="C1000" s="157">
        <v>24520.52</v>
      </c>
    </row>
    <row r="1001" spans="2:3">
      <c r="B1001" s="156">
        <v>44834</v>
      </c>
      <c r="C1001" s="157">
        <v>24821.08</v>
      </c>
    </row>
    <row r="1002" spans="2:3">
      <c r="B1002" s="156">
        <v>44833</v>
      </c>
      <c r="C1002" s="157">
        <v>24419.98</v>
      </c>
    </row>
    <row r="1003" spans="2:3">
      <c r="B1003" s="156">
        <v>44832</v>
      </c>
      <c r="C1003" s="157">
        <v>24478.82</v>
      </c>
    </row>
    <row r="1004" spans="2:3">
      <c r="B1004" s="156">
        <v>44831</v>
      </c>
      <c r="C1004" s="157">
        <v>24694.83</v>
      </c>
    </row>
    <row r="1005" spans="2:3">
      <c r="B1005" s="156">
        <v>44830</v>
      </c>
      <c r="C1005" s="157">
        <v>24707.77</v>
      </c>
    </row>
    <row r="1006" spans="2:3">
      <c r="B1006" s="156">
        <v>44827</v>
      </c>
      <c r="C1006" s="157">
        <v>25159.42</v>
      </c>
    </row>
    <row r="1007" spans="2:3">
      <c r="B1007" s="156">
        <v>44826</v>
      </c>
      <c r="C1007" s="157">
        <v>25598.6</v>
      </c>
    </row>
    <row r="1008" spans="2:3">
      <c r="B1008" s="156">
        <v>44825</v>
      </c>
      <c r="C1008" s="157">
        <v>25727.13</v>
      </c>
    </row>
    <row r="1009" spans="2:3">
      <c r="B1009" s="156">
        <v>44824</v>
      </c>
      <c r="C1009" s="157">
        <v>25869.27</v>
      </c>
    </row>
    <row r="1010" spans="2:3">
      <c r="B1010" s="156">
        <v>44823</v>
      </c>
      <c r="C1010" s="157">
        <v>25587.63</v>
      </c>
    </row>
    <row r="1011" spans="2:3">
      <c r="B1011" s="156">
        <v>44820</v>
      </c>
      <c r="C1011" s="157">
        <v>25454.93</v>
      </c>
    </row>
    <row r="1012" spans="2:3">
      <c r="B1012" s="156">
        <v>44819</v>
      </c>
      <c r="C1012" s="157">
        <v>25958.06</v>
      </c>
    </row>
    <row r="1013" spans="2:3">
      <c r="B1013" s="156">
        <v>44818</v>
      </c>
      <c r="C1013" s="157">
        <v>26141.52</v>
      </c>
    </row>
    <row r="1014" spans="2:3">
      <c r="B1014" s="156">
        <v>44817</v>
      </c>
      <c r="C1014" s="157">
        <v>26237.81</v>
      </c>
    </row>
    <row r="1015" spans="2:3">
      <c r="B1015" s="156">
        <v>44816</v>
      </c>
      <c r="C1015" s="157">
        <v>26043.69</v>
      </c>
    </row>
    <row r="1016" spans="2:3">
      <c r="B1016" s="156">
        <v>44813</v>
      </c>
      <c r="C1016" s="157">
        <v>25894.12</v>
      </c>
    </row>
    <row r="1017" spans="2:3">
      <c r="B1017" s="156">
        <v>44812</v>
      </c>
      <c r="C1017" s="157">
        <v>25843.86</v>
      </c>
    </row>
    <row r="1018" spans="2:3">
      <c r="B1018" s="156">
        <v>44811</v>
      </c>
      <c r="C1018" s="157">
        <v>25590.73</v>
      </c>
    </row>
    <row r="1019" spans="2:3">
      <c r="B1019" s="156">
        <v>44810</v>
      </c>
      <c r="C1019" s="157">
        <v>25636.01</v>
      </c>
    </row>
    <row r="1020" spans="2:3">
      <c r="B1020" s="156">
        <v>44809</v>
      </c>
      <c r="C1020" s="157">
        <v>25650.83</v>
      </c>
    </row>
    <row r="1021" spans="2:3">
      <c r="B1021" s="156">
        <v>44806</v>
      </c>
      <c r="C1021" s="157">
        <v>25467.41</v>
      </c>
    </row>
    <row r="1022" spans="2:3">
      <c r="B1022" s="156">
        <v>44805</v>
      </c>
      <c r="C1022" s="157">
        <v>25472.240000000002</v>
      </c>
    </row>
    <row r="1023" spans="2:3">
      <c r="B1023" s="156">
        <v>44803</v>
      </c>
      <c r="C1023" s="157">
        <v>25786.59</v>
      </c>
    </row>
    <row r="1024" spans="2:3">
      <c r="B1024" s="156">
        <v>44802</v>
      </c>
      <c r="C1024" s="157">
        <v>25138.400000000001</v>
      </c>
    </row>
    <row r="1025" spans="2:3">
      <c r="B1025" s="156">
        <v>44799</v>
      </c>
      <c r="C1025" s="157">
        <v>25495.64</v>
      </c>
    </row>
    <row r="1026" spans="2:3">
      <c r="B1026" s="156">
        <v>44798</v>
      </c>
      <c r="C1026" s="157">
        <v>25442.67</v>
      </c>
    </row>
    <row r="1027" spans="2:3">
      <c r="B1027" s="156">
        <v>44797</v>
      </c>
      <c r="C1027" s="157">
        <v>25562.51</v>
      </c>
    </row>
    <row r="1028" spans="2:3">
      <c r="B1028" s="156">
        <v>44796</v>
      </c>
      <c r="C1028" s="157">
        <v>25522.62</v>
      </c>
    </row>
    <row r="1029" spans="2:3">
      <c r="B1029" s="156">
        <v>44795</v>
      </c>
      <c r="C1029" s="157">
        <v>25396.57</v>
      </c>
    </row>
    <row r="1030" spans="2:3">
      <c r="B1030" s="156">
        <v>44792</v>
      </c>
      <c r="C1030" s="157">
        <v>25785.4</v>
      </c>
    </row>
    <row r="1031" spans="2:3">
      <c r="B1031" s="156">
        <v>44791</v>
      </c>
      <c r="C1031" s="157">
        <v>26067.35</v>
      </c>
    </row>
    <row r="1032" spans="2:3">
      <c r="B1032" s="156">
        <v>44790</v>
      </c>
      <c r="C1032" s="157">
        <v>26035.87</v>
      </c>
    </row>
    <row r="1033" spans="2:3">
      <c r="B1033" s="156">
        <v>44789</v>
      </c>
      <c r="C1033" s="157">
        <v>25863.24</v>
      </c>
    </row>
    <row r="1034" spans="2:3">
      <c r="B1034" s="156">
        <v>44785</v>
      </c>
      <c r="C1034" s="157">
        <v>25678.83</v>
      </c>
    </row>
    <row r="1035" spans="2:3">
      <c r="B1035" s="156">
        <v>44784</v>
      </c>
      <c r="C1035" s="157">
        <v>25621.06</v>
      </c>
    </row>
    <row r="1036" spans="2:3">
      <c r="B1036" s="156">
        <v>44783</v>
      </c>
      <c r="C1036" s="157">
        <v>25431.919999999998</v>
      </c>
    </row>
    <row r="1037" spans="2:3">
      <c r="B1037" s="156">
        <v>44781</v>
      </c>
      <c r="C1037" s="157">
        <v>25413.25</v>
      </c>
    </row>
    <row r="1038" spans="2:3">
      <c r="B1038" s="156">
        <v>44778</v>
      </c>
      <c r="C1038" s="157">
        <v>25215.93</v>
      </c>
    </row>
    <row r="1039" spans="2:3">
      <c r="B1039" s="156">
        <v>44777</v>
      </c>
      <c r="C1039" s="157">
        <v>25193.41</v>
      </c>
    </row>
    <row r="1040" spans="2:3">
      <c r="B1040" s="156">
        <v>44776</v>
      </c>
      <c r="C1040" s="157">
        <v>25202.38</v>
      </c>
    </row>
    <row r="1041" spans="2:3">
      <c r="B1041" s="156">
        <v>44775</v>
      </c>
      <c r="C1041" s="157">
        <v>25137.82</v>
      </c>
    </row>
    <row r="1042" spans="2:3">
      <c r="B1042" s="156">
        <v>44774</v>
      </c>
      <c r="C1042" s="157">
        <v>25128.57</v>
      </c>
    </row>
    <row r="1043" spans="2:3">
      <c r="B1043" s="156">
        <v>44771</v>
      </c>
      <c r="C1043" s="157">
        <v>24862.7</v>
      </c>
    </row>
    <row r="1044" spans="2:3">
      <c r="B1044" s="156">
        <v>44770</v>
      </c>
      <c r="C1044" s="157">
        <v>24531.38</v>
      </c>
    </row>
    <row r="1045" spans="2:3">
      <c r="B1045" s="156">
        <v>44769</v>
      </c>
      <c r="C1045" s="157">
        <v>24114.41</v>
      </c>
    </row>
    <row r="1046" spans="2:3">
      <c r="B1046" s="156">
        <v>44768</v>
      </c>
      <c r="C1046" s="157">
        <v>23882.26</v>
      </c>
    </row>
    <row r="1047" spans="2:3">
      <c r="B1047" s="156">
        <v>44767</v>
      </c>
      <c r="C1047" s="157">
        <v>24095.46</v>
      </c>
    </row>
    <row r="1048" spans="2:3">
      <c r="B1048" s="156">
        <v>44764</v>
      </c>
      <c r="C1048" s="157">
        <v>24223.56</v>
      </c>
    </row>
    <row r="1049" spans="2:3">
      <c r="B1049" s="156">
        <v>44763</v>
      </c>
      <c r="C1049" s="157">
        <v>24058.17</v>
      </c>
    </row>
    <row r="1050" spans="2:3">
      <c r="B1050" s="156">
        <v>44762</v>
      </c>
      <c r="C1050" s="157">
        <v>23920.880000000001</v>
      </c>
    </row>
    <row r="1051" spans="2:3">
      <c r="B1051" s="156">
        <v>44761</v>
      </c>
      <c r="C1051" s="157">
        <v>23659.85</v>
      </c>
    </row>
    <row r="1052" spans="2:3">
      <c r="B1052" s="156">
        <v>44760</v>
      </c>
      <c r="C1052" s="157">
        <v>23566.52</v>
      </c>
    </row>
    <row r="1053" spans="2:3">
      <c r="B1053" s="156">
        <v>44757</v>
      </c>
      <c r="C1053" s="157">
        <v>23234.52</v>
      </c>
    </row>
    <row r="1054" spans="2:3">
      <c r="B1054" s="156">
        <v>44756</v>
      </c>
      <c r="C1054" s="157">
        <v>23074.52</v>
      </c>
    </row>
    <row r="1055" spans="2:3">
      <c r="B1055" s="156">
        <v>44755</v>
      </c>
      <c r="C1055" s="157">
        <v>23107.47</v>
      </c>
    </row>
    <row r="1056" spans="2:3">
      <c r="B1056" s="156">
        <v>44754</v>
      </c>
      <c r="C1056" s="157">
        <v>23239.9</v>
      </c>
    </row>
    <row r="1057" spans="2:3">
      <c r="B1057" s="156">
        <v>44753</v>
      </c>
      <c r="C1057" s="157">
        <v>23468.14</v>
      </c>
    </row>
    <row r="1058" spans="2:3">
      <c r="B1058" s="156">
        <v>44750</v>
      </c>
      <c r="C1058" s="157">
        <v>23473.61</v>
      </c>
    </row>
    <row r="1059" spans="2:3">
      <c r="B1059" s="156">
        <v>44749</v>
      </c>
      <c r="C1059" s="157">
        <v>23345.61</v>
      </c>
    </row>
    <row r="1060" spans="2:3">
      <c r="B1060" s="156">
        <v>44748</v>
      </c>
      <c r="C1060" s="157">
        <v>23137.7</v>
      </c>
    </row>
    <row r="1061" spans="2:3">
      <c r="B1061" s="156">
        <v>44747</v>
      </c>
      <c r="C1061" s="157">
        <v>22878.720000000001</v>
      </c>
    </row>
    <row r="1062" spans="2:3">
      <c r="B1062" s="156">
        <v>44746</v>
      </c>
      <c r="C1062" s="157">
        <v>22914.2</v>
      </c>
    </row>
    <row r="1063" spans="2:3">
      <c r="B1063" s="156">
        <v>44743</v>
      </c>
      <c r="C1063" s="157">
        <v>22788.18</v>
      </c>
    </row>
    <row r="1064" spans="2:3">
      <c r="B1064" s="156">
        <v>44742</v>
      </c>
      <c r="C1064" s="157">
        <v>22828.93</v>
      </c>
    </row>
    <row r="1065" spans="2:3">
      <c r="B1065" s="156">
        <v>44741</v>
      </c>
      <c r="C1065" s="157">
        <v>22848.35</v>
      </c>
    </row>
    <row r="1066" spans="2:3">
      <c r="B1066" s="156">
        <v>44740</v>
      </c>
      <c r="C1066" s="157">
        <v>22922.240000000002</v>
      </c>
    </row>
    <row r="1067" spans="2:3">
      <c r="B1067" s="156">
        <v>44739</v>
      </c>
      <c r="C1067" s="157">
        <v>22896.02</v>
      </c>
    </row>
    <row r="1068" spans="2:3">
      <c r="B1068" s="156">
        <v>44736</v>
      </c>
      <c r="C1068" s="157">
        <v>22703.95</v>
      </c>
    </row>
    <row r="1069" spans="2:3">
      <c r="B1069" s="156">
        <v>44735</v>
      </c>
      <c r="C1069" s="157">
        <v>22497.71</v>
      </c>
    </row>
    <row r="1070" spans="2:3">
      <c r="B1070" s="156">
        <v>44734</v>
      </c>
      <c r="C1070" s="157">
        <v>22290.46</v>
      </c>
    </row>
    <row r="1071" spans="2:3">
      <c r="B1071" s="156">
        <v>44733</v>
      </c>
      <c r="C1071" s="157">
        <v>22616.52</v>
      </c>
    </row>
    <row r="1072" spans="2:3">
      <c r="B1072" s="156">
        <v>44732</v>
      </c>
      <c r="C1072" s="157">
        <v>22199.11</v>
      </c>
    </row>
    <row r="1073" spans="2:3">
      <c r="B1073" s="156">
        <v>44729</v>
      </c>
      <c r="C1073" s="157">
        <v>22114.97</v>
      </c>
    </row>
    <row r="1074" spans="2:3">
      <c r="B1074" s="156">
        <v>44728</v>
      </c>
      <c r="C1074" s="157">
        <v>22211.98</v>
      </c>
    </row>
    <row r="1075" spans="2:3">
      <c r="B1075" s="156">
        <v>44727</v>
      </c>
      <c r="C1075" s="157">
        <v>22691.46</v>
      </c>
    </row>
    <row r="1076" spans="2:3">
      <c r="B1076" s="156">
        <v>44726</v>
      </c>
      <c r="C1076" s="157">
        <v>22729.97</v>
      </c>
    </row>
    <row r="1077" spans="2:3">
      <c r="B1077" s="156">
        <v>44725</v>
      </c>
      <c r="C1077" s="157">
        <v>22791.119999999999</v>
      </c>
    </row>
    <row r="1078" spans="2:3">
      <c r="B1078" s="156">
        <v>44722</v>
      </c>
      <c r="C1078" s="157">
        <v>23408.59</v>
      </c>
    </row>
    <row r="1079" spans="2:3">
      <c r="B1079" s="156">
        <v>44721</v>
      </c>
      <c r="C1079" s="157">
        <v>23807.84</v>
      </c>
    </row>
    <row r="1080" spans="2:3">
      <c r="B1080" s="156">
        <v>44720</v>
      </c>
      <c r="C1080" s="157">
        <v>23628.32</v>
      </c>
    </row>
    <row r="1081" spans="2:3">
      <c r="B1081" s="156">
        <v>44719</v>
      </c>
      <c r="C1081" s="157">
        <v>23715.1</v>
      </c>
    </row>
    <row r="1082" spans="2:3">
      <c r="B1082" s="156">
        <v>44718</v>
      </c>
      <c r="C1082" s="157">
        <v>23936.44</v>
      </c>
    </row>
    <row r="1083" spans="2:3">
      <c r="B1083" s="156">
        <v>44715</v>
      </c>
      <c r="C1083" s="157">
        <v>23957.71</v>
      </c>
    </row>
    <row r="1084" spans="2:3">
      <c r="B1084" s="156">
        <v>44714</v>
      </c>
      <c r="C1084" s="157">
        <v>24020.89</v>
      </c>
    </row>
    <row r="1085" spans="2:3">
      <c r="B1085" s="156">
        <v>44713</v>
      </c>
      <c r="C1085" s="157">
        <v>23868.85</v>
      </c>
    </row>
    <row r="1086" spans="2:3">
      <c r="B1086" s="156">
        <v>44712</v>
      </c>
      <c r="C1086" s="157">
        <v>23958.1</v>
      </c>
    </row>
    <row r="1087" spans="2:3">
      <c r="B1087" s="156">
        <v>44711</v>
      </c>
      <c r="C1087" s="157">
        <v>24031.25</v>
      </c>
    </row>
    <row r="1088" spans="2:3">
      <c r="B1088" s="156">
        <v>44708</v>
      </c>
      <c r="C1088" s="157">
        <v>23585.61</v>
      </c>
    </row>
    <row r="1089" spans="2:3">
      <c r="B1089" s="156">
        <v>44707</v>
      </c>
      <c r="C1089" s="157">
        <v>23322.66</v>
      </c>
    </row>
    <row r="1090" spans="2:3">
      <c r="B1090" s="156">
        <v>44706</v>
      </c>
      <c r="C1090" s="157">
        <v>23096.63</v>
      </c>
    </row>
    <row r="1091" spans="2:3">
      <c r="B1091" s="156">
        <v>44705</v>
      </c>
      <c r="C1091" s="157">
        <v>23223.25</v>
      </c>
    </row>
    <row r="1092" spans="2:3">
      <c r="B1092" s="156">
        <v>44704</v>
      </c>
      <c r="C1092" s="157">
        <v>23352.22</v>
      </c>
    </row>
    <row r="1093" spans="2:3">
      <c r="B1093" s="156">
        <v>44701</v>
      </c>
      <c r="C1093" s="157">
        <v>23426.36</v>
      </c>
    </row>
    <row r="1094" spans="2:3">
      <c r="B1094" s="156">
        <v>44700</v>
      </c>
      <c r="C1094" s="157">
        <v>22768.49</v>
      </c>
    </row>
    <row r="1095" spans="2:3">
      <c r="B1095" s="156">
        <v>44699</v>
      </c>
      <c r="C1095" s="157">
        <v>23389.07</v>
      </c>
    </row>
    <row r="1096" spans="2:3">
      <c r="B1096" s="156">
        <v>44698</v>
      </c>
      <c r="C1096" s="157">
        <v>23416.46</v>
      </c>
    </row>
    <row r="1097" spans="2:3">
      <c r="B1097" s="156">
        <v>44697</v>
      </c>
      <c r="C1097" s="157">
        <v>22815.88</v>
      </c>
    </row>
    <row r="1098" spans="2:3">
      <c r="B1098" s="156">
        <v>44694</v>
      </c>
      <c r="C1098" s="157">
        <v>22729.279999999999</v>
      </c>
    </row>
    <row r="1099" spans="2:3">
      <c r="B1099" s="156">
        <v>44693</v>
      </c>
      <c r="C1099" s="157">
        <v>22766.52</v>
      </c>
    </row>
    <row r="1100" spans="2:3">
      <c r="B1100" s="156">
        <v>44692</v>
      </c>
      <c r="C1100" s="157">
        <v>23260.85</v>
      </c>
    </row>
    <row r="1101" spans="2:3">
      <c r="B1101" s="156">
        <v>44691</v>
      </c>
      <c r="C1101" s="157">
        <v>23365.81</v>
      </c>
    </row>
    <row r="1102" spans="2:3">
      <c r="B1102" s="156">
        <v>44690</v>
      </c>
      <c r="C1102" s="157">
        <v>23454.71</v>
      </c>
    </row>
    <row r="1103" spans="2:3">
      <c r="B1103" s="156">
        <v>44687</v>
      </c>
      <c r="C1103" s="157">
        <v>23612.16</v>
      </c>
    </row>
    <row r="1104" spans="2:3">
      <c r="B1104" s="156">
        <v>44686</v>
      </c>
      <c r="C1104" s="157">
        <v>24002.58</v>
      </c>
    </row>
    <row r="1105" spans="2:3">
      <c r="B1105" s="156">
        <v>44685</v>
      </c>
      <c r="C1105" s="157">
        <v>23995.35</v>
      </c>
    </row>
    <row r="1106" spans="2:3">
      <c r="B1106" s="156">
        <v>44683</v>
      </c>
      <c r="C1106" s="157">
        <v>24558.61</v>
      </c>
    </row>
    <row r="1107" spans="2:3">
      <c r="B1107" s="156">
        <v>44680</v>
      </c>
      <c r="C1107" s="157">
        <v>24606.78</v>
      </c>
    </row>
    <row r="1108" spans="2:3">
      <c r="B1108" s="156">
        <v>44679</v>
      </c>
      <c r="C1108" s="157">
        <v>24811.78</v>
      </c>
    </row>
    <row r="1109" spans="2:3">
      <c r="B1109" s="156">
        <v>44678</v>
      </c>
      <c r="C1109" s="157">
        <v>24508.3</v>
      </c>
    </row>
    <row r="1110" spans="2:3">
      <c r="B1110" s="156">
        <v>44677</v>
      </c>
      <c r="C1110" s="157">
        <v>24741.88</v>
      </c>
    </row>
    <row r="1111" spans="2:3">
      <c r="B1111" s="156">
        <v>44676</v>
      </c>
      <c r="C1111" s="157">
        <v>24386.78</v>
      </c>
    </row>
    <row r="1112" spans="2:3">
      <c r="B1112" s="156">
        <v>44673</v>
      </c>
      <c r="C1112" s="157">
        <v>24700.36</v>
      </c>
    </row>
    <row r="1113" spans="2:3">
      <c r="B1113" s="156">
        <v>44672</v>
      </c>
      <c r="C1113" s="157">
        <v>25017.73</v>
      </c>
    </row>
    <row r="1114" spans="2:3">
      <c r="B1114" s="156">
        <v>44671</v>
      </c>
      <c r="C1114" s="157">
        <v>24648.400000000001</v>
      </c>
    </row>
    <row r="1115" spans="2:3">
      <c r="B1115" s="156">
        <v>44670</v>
      </c>
      <c r="C1115" s="157">
        <v>24392.54</v>
      </c>
    </row>
    <row r="1116" spans="2:3">
      <c r="B1116" s="156">
        <v>44669</v>
      </c>
      <c r="C1116" s="157">
        <v>24701.75</v>
      </c>
    </row>
    <row r="1117" spans="2:3">
      <c r="B1117" s="156">
        <v>44664</v>
      </c>
      <c r="C1117" s="157">
        <v>25136.13</v>
      </c>
    </row>
    <row r="1118" spans="2:3">
      <c r="B1118" s="156">
        <v>44663</v>
      </c>
      <c r="C1118" s="157">
        <v>25214.76</v>
      </c>
    </row>
    <row r="1119" spans="2:3">
      <c r="B1119" s="156">
        <v>44662</v>
      </c>
      <c r="C1119" s="157">
        <v>25422.81</v>
      </c>
    </row>
    <row r="1120" spans="2:3">
      <c r="B1120" s="156">
        <v>44659</v>
      </c>
      <c r="C1120" s="157">
        <v>25580.15</v>
      </c>
    </row>
    <row r="1121" spans="2:3">
      <c r="B1121" s="156">
        <v>44658</v>
      </c>
      <c r="C1121" s="157">
        <v>25371.88</v>
      </c>
    </row>
    <row r="1122" spans="2:3">
      <c r="B1122" s="156">
        <v>44657</v>
      </c>
      <c r="C1122" s="157">
        <v>25613.71</v>
      </c>
    </row>
    <row r="1123" spans="2:3">
      <c r="B1123" s="156">
        <v>44656</v>
      </c>
      <c r="C1123" s="157">
        <v>25829.11</v>
      </c>
    </row>
    <row r="1124" spans="2:3">
      <c r="B1124" s="156">
        <v>44655</v>
      </c>
      <c r="C1124" s="157">
        <v>25964.720000000001</v>
      </c>
    </row>
    <row r="1125" spans="2:3">
      <c r="B1125" s="156">
        <v>44652</v>
      </c>
      <c r="C1125" s="157">
        <v>25413.94</v>
      </c>
    </row>
    <row r="1126" spans="2:3">
      <c r="B1126" s="156">
        <v>44651</v>
      </c>
      <c r="C1126" s="157">
        <v>25118.14</v>
      </c>
    </row>
    <row r="1127" spans="2:3">
      <c r="B1127" s="156">
        <v>44650</v>
      </c>
      <c r="C1127" s="157">
        <v>25166.31</v>
      </c>
    </row>
    <row r="1128" spans="2:3">
      <c r="B1128" s="156">
        <v>44649</v>
      </c>
      <c r="C1128" s="157">
        <v>24917.57</v>
      </c>
    </row>
    <row r="1129" spans="2:3">
      <c r="B1129" s="156">
        <v>44648</v>
      </c>
      <c r="C1129" s="157">
        <v>24768.69</v>
      </c>
    </row>
    <row r="1130" spans="2:3">
      <c r="B1130" s="156">
        <v>44645</v>
      </c>
      <c r="C1130" s="157">
        <v>24669.45</v>
      </c>
    </row>
    <row r="1131" spans="2:3">
      <c r="B1131" s="156">
        <v>44644</v>
      </c>
      <c r="C1131" s="157">
        <v>24769.75</v>
      </c>
    </row>
    <row r="1132" spans="2:3">
      <c r="B1132" s="156">
        <v>44643</v>
      </c>
      <c r="C1132" s="157">
        <v>24802.74</v>
      </c>
    </row>
    <row r="1133" spans="2:3">
      <c r="B1133" s="156">
        <v>44642</v>
      </c>
      <c r="C1133" s="157">
        <v>24903.14</v>
      </c>
    </row>
    <row r="1134" spans="2:3">
      <c r="B1134" s="156">
        <v>44641</v>
      </c>
      <c r="C1134" s="157">
        <v>24618.52</v>
      </c>
    </row>
    <row r="1135" spans="2:3">
      <c r="B1135" s="156">
        <v>44637</v>
      </c>
      <c r="C1135" s="157">
        <v>24862.27</v>
      </c>
    </row>
    <row r="1136" spans="2:3">
      <c r="B1136" s="156">
        <v>44636</v>
      </c>
      <c r="C1136" s="157">
        <v>24414</v>
      </c>
    </row>
    <row r="1137" spans="2:3">
      <c r="B1137" s="156">
        <v>44635</v>
      </c>
      <c r="C1137" s="157">
        <v>23964.720000000001</v>
      </c>
    </row>
    <row r="1138" spans="2:3">
      <c r="B1138" s="156">
        <v>44634</v>
      </c>
      <c r="C1138" s="157">
        <v>24264.29</v>
      </c>
    </row>
    <row r="1139" spans="2:3">
      <c r="B1139" s="156">
        <v>44631</v>
      </c>
      <c r="C1139" s="157">
        <v>23917.96</v>
      </c>
    </row>
    <row r="1140" spans="2:3">
      <c r="B1140" s="156">
        <v>44630</v>
      </c>
      <c r="C1140" s="157">
        <v>23866.77</v>
      </c>
    </row>
    <row r="1141" spans="2:3">
      <c r="B1141" s="156">
        <v>44629</v>
      </c>
      <c r="C1141" s="157">
        <v>23507.87</v>
      </c>
    </row>
    <row r="1142" spans="2:3">
      <c r="B1142" s="156">
        <v>44628</v>
      </c>
      <c r="C1142" s="157">
        <v>23030.560000000001</v>
      </c>
    </row>
    <row r="1143" spans="2:3">
      <c r="B1143" s="156">
        <v>44627</v>
      </c>
      <c r="C1143" s="157">
        <v>22814.41</v>
      </c>
    </row>
    <row r="1144" spans="2:3">
      <c r="B1144" s="156">
        <v>44624</v>
      </c>
      <c r="C1144" s="157">
        <v>23364.07</v>
      </c>
    </row>
    <row r="1145" spans="2:3">
      <c r="B1145" s="156">
        <v>44623</v>
      </c>
      <c r="C1145" s="157">
        <v>23727.54</v>
      </c>
    </row>
    <row r="1146" spans="2:3">
      <c r="B1146" s="156">
        <v>44622</v>
      </c>
      <c r="C1146" s="157">
        <v>23882.720000000001</v>
      </c>
    </row>
    <row r="1147" spans="2:3">
      <c r="B1147" s="156">
        <v>44620</v>
      </c>
      <c r="C1147" s="157">
        <v>24153.01</v>
      </c>
    </row>
    <row r="1148" spans="2:3">
      <c r="B1148" s="156">
        <v>44617</v>
      </c>
      <c r="C1148" s="157">
        <v>23958.1</v>
      </c>
    </row>
    <row r="1149" spans="2:3">
      <c r="B1149" s="156">
        <v>44616</v>
      </c>
      <c r="C1149" s="157">
        <v>23367.85</v>
      </c>
    </row>
    <row r="1150" spans="2:3">
      <c r="B1150" s="156">
        <v>44615</v>
      </c>
      <c r="C1150" s="157">
        <v>24540.41</v>
      </c>
    </row>
    <row r="1151" spans="2:3">
      <c r="B1151" s="156">
        <v>44614</v>
      </c>
      <c r="C1151" s="157">
        <v>24582.05</v>
      </c>
    </row>
    <row r="1152" spans="2:3">
      <c r="B1152" s="156">
        <v>44613</v>
      </c>
      <c r="C1152" s="157">
        <v>24746.59</v>
      </c>
    </row>
    <row r="1153" spans="2:3">
      <c r="B1153" s="156">
        <v>44610</v>
      </c>
      <c r="C1153" s="157">
        <v>24838.68</v>
      </c>
    </row>
    <row r="1154" spans="2:3">
      <c r="B1154" s="156">
        <v>44609</v>
      </c>
      <c r="C1154" s="157">
        <v>24879.32</v>
      </c>
    </row>
    <row r="1155" spans="2:3">
      <c r="B1155" s="156">
        <v>44608</v>
      </c>
      <c r="C1155" s="157">
        <v>24904.67</v>
      </c>
    </row>
    <row r="1156" spans="2:3">
      <c r="B1156" s="156">
        <v>44607</v>
      </c>
      <c r="C1156" s="157">
        <v>24941.93</v>
      </c>
    </row>
    <row r="1157" spans="2:3">
      <c r="B1157" s="156">
        <v>44606</v>
      </c>
      <c r="C1157" s="157">
        <v>24209.38</v>
      </c>
    </row>
    <row r="1158" spans="2:3">
      <c r="B1158" s="156">
        <v>44603</v>
      </c>
      <c r="C1158" s="157">
        <v>24958.45</v>
      </c>
    </row>
    <row r="1159" spans="2:3">
      <c r="B1159" s="156">
        <v>44602</v>
      </c>
      <c r="C1159" s="157">
        <v>25290.42</v>
      </c>
    </row>
    <row r="1160" spans="2:3">
      <c r="B1160" s="156">
        <v>44601</v>
      </c>
      <c r="C1160" s="157">
        <v>25084.6</v>
      </c>
    </row>
    <row r="1161" spans="2:3">
      <c r="B1161" s="156">
        <v>44600</v>
      </c>
      <c r="C1161" s="157">
        <v>24795.759999999998</v>
      </c>
    </row>
    <row r="1162" spans="2:3">
      <c r="B1162" s="156">
        <v>44599</v>
      </c>
      <c r="C1162" s="157">
        <v>24719.45</v>
      </c>
    </row>
    <row r="1163" spans="2:3">
      <c r="B1163" s="156">
        <v>44596</v>
      </c>
      <c r="C1163" s="157">
        <v>25154.14</v>
      </c>
    </row>
    <row r="1164" spans="2:3">
      <c r="B1164" s="156">
        <v>44595</v>
      </c>
      <c r="C1164" s="157">
        <v>25217.200000000001</v>
      </c>
    </row>
    <row r="1165" spans="2:3">
      <c r="B1165" s="156">
        <v>44594</v>
      </c>
      <c r="C1165" s="157">
        <v>25526.55</v>
      </c>
    </row>
    <row r="1166" spans="2:3">
      <c r="B1166" s="156">
        <v>44593</v>
      </c>
      <c r="C1166" s="157">
        <v>25234.89</v>
      </c>
    </row>
    <row r="1167" spans="2:3">
      <c r="B1167" s="156">
        <v>44592</v>
      </c>
      <c r="C1167" s="157">
        <v>24894.62</v>
      </c>
    </row>
    <row r="1168" spans="2:3">
      <c r="B1168" s="156">
        <v>44589</v>
      </c>
      <c r="C1168" s="157">
        <v>24553.040000000001</v>
      </c>
    </row>
    <row r="1169" spans="2:3">
      <c r="B1169" s="156">
        <v>44588</v>
      </c>
      <c r="C1169" s="157">
        <v>24564.81</v>
      </c>
    </row>
    <row r="1170" spans="2:3">
      <c r="B1170" s="156">
        <v>44586</v>
      </c>
      <c r="C1170" s="157">
        <v>24805.75</v>
      </c>
    </row>
    <row r="1171" spans="2:3">
      <c r="B1171" s="156">
        <v>44585</v>
      </c>
      <c r="C1171" s="157">
        <v>24620.720000000001</v>
      </c>
    </row>
    <row r="1172" spans="2:3">
      <c r="B1172" s="156">
        <v>44582</v>
      </c>
      <c r="C1172" s="157">
        <v>25292.720000000001</v>
      </c>
    </row>
    <row r="1173" spans="2:3">
      <c r="B1173" s="156">
        <v>44581</v>
      </c>
      <c r="C1173" s="157">
        <v>25492.99</v>
      </c>
    </row>
    <row r="1174" spans="2:3">
      <c r="B1174" s="156">
        <v>44580</v>
      </c>
      <c r="C1174" s="157">
        <v>25749.81</v>
      </c>
    </row>
    <row r="1175" spans="2:3">
      <c r="B1175" s="156">
        <v>44579</v>
      </c>
      <c r="C1175" s="157">
        <v>25998.14</v>
      </c>
    </row>
    <row r="1176" spans="2:3">
      <c r="B1176" s="156">
        <v>44578</v>
      </c>
      <c r="C1176" s="157">
        <v>26278.07</v>
      </c>
    </row>
    <row r="1177" spans="2:3">
      <c r="B1177" s="156">
        <v>44575</v>
      </c>
      <c r="C1177" s="157">
        <v>26202.97</v>
      </c>
    </row>
    <row r="1178" spans="2:3">
      <c r="B1178" s="156">
        <v>44574</v>
      </c>
      <c r="C1178" s="157">
        <v>26205.87</v>
      </c>
    </row>
    <row r="1179" spans="2:3">
      <c r="B1179" s="156">
        <v>44573</v>
      </c>
      <c r="C1179" s="157">
        <v>26140.68</v>
      </c>
    </row>
    <row r="1180" spans="2:3">
      <c r="B1180" s="156">
        <v>44572</v>
      </c>
      <c r="C1180" s="157">
        <v>25915.89</v>
      </c>
    </row>
    <row r="1181" spans="2:3">
      <c r="B1181" s="156">
        <v>44571</v>
      </c>
      <c r="C1181" s="157">
        <v>25840.62</v>
      </c>
    </row>
    <row r="1182" spans="2:3">
      <c r="B1182" s="156">
        <v>44568</v>
      </c>
      <c r="C1182" s="157">
        <v>25567.06</v>
      </c>
    </row>
    <row r="1183" spans="2:3">
      <c r="B1183" s="156">
        <v>44567</v>
      </c>
      <c r="C1183" s="157">
        <v>25471.18</v>
      </c>
    </row>
    <row r="1184" spans="2:3">
      <c r="B1184" s="156">
        <v>44566</v>
      </c>
      <c r="C1184" s="157">
        <v>25728.58</v>
      </c>
    </row>
    <row r="1185" spans="2:3">
      <c r="B1185" s="156">
        <v>44565</v>
      </c>
      <c r="C1185" s="157">
        <v>25556.34</v>
      </c>
    </row>
    <row r="1186" spans="2:3">
      <c r="B1186" s="156">
        <v>44564</v>
      </c>
      <c r="C1186" s="157">
        <v>25298.63</v>
      </c>
    </row>
    <row r="1187" spans="2:3">
      <c r="B1187" s="156">
        <v>44561</v>
      </c>
      <c r="C1187" s="157">
        <v>24908.71</v>
      </c>
    </row>
    <row r="1188" spans="2:3">
      <c r="B1188" s="156">
        <v>44560</v>
      </c>
      <c r="C1188" s="157">
        <v>24693.25</v>
      </c>
    </row>
    <row r="1189" spans="2:3">
      <c r="B1189" s="156">
        <v>44559</v>
      </c>
      <c r="C1189" s="157">
        <v>24707.1</v>
      </c>
    </row>
    <row r="1190" spans="2:3">
      <c r="B1190" s="156">
        <v>44558</v>
      </c>
      <c r="C1190" s="157">
        <v>24735.32</v>
      </c>
    </row>
    <row r="1191" spans="2:3">
      <c r="B1191" s="156">
        <v>44557</v>
      </c>
      <c r="C1191" s="157">
        <v>24524.36</v>
      </c>
    </row>
    <row r="1192" spans="2:3">
      <c r="B1192" s="156">
        <v>44554</v>
      </c>
      <c r="C1192" s="157">
        <v>24405.96</v>
      </c>
    </row>
    <row r="1193" spans="2:3">
      <c r="B1193" s="156">
        <v>44553</v>
      </c>
      <c r="C1193" s="157">
        <v>24504.75</v>
      </c>
    </row>
    <row r="1194" spans="2:3">
      <c r="B1194" s="156">
        <v>44552</v>
      </c>
      <c r="C1194" s="157">
        <v>24336.62</v>
      </c>
    </row>
    <row r="1195" spans="2:3">
      <c r="B1195" s="156">
        <v>44551</v>
      </c>
      <c r="C1195" s="157">
        <v>24063.78</v>
      </c>
    </row>
    <row r="1196" spans="2:3">
      <c r="B1196" s="156">
        <v>44550</v>
      </c>
      <c r="C1196" s="157">
        <v>23839.01</v>
      </c>
    </row>
    <row r="1197" spans="2:3">
      <c r="B1197" s="156">
        <v>44547</v>
      </c>
      <c r="C1197" s="157">
        <v>24371.37</v>
      </c>
    </row>
    <row r="1198" spans="2:3">
      <c r="B1198" s="156">
        <v>44546</v>
      </c>
      <c r="C1198" s="157">
        <v>24749.01</v>
      </c>
    </row>
    <row r="1199" spans="2:3">
      <c r="B1199" s="156">
        <v>44545</v>
      </c>
      <c r="C1199" s="157">
        <v>24710.3</v>
      </c>
    </row>
    <row r="1200" spans="2:3">
      <c r="B1200" s="156">
        <v>44544</v>
      </c>
      <c r="C1200" s="157">
        <v>24858.79</v>
      </c>
    </row>
    <row r="1201" spans="2:3">
      <c r="B1201" s="156">
        <v>44543</v>
      </c>
      <c r="C1201" s="157">
        <v>24921.02</v>
      </c>
    </row>
    <row r="1202" spans="2:3">
      <c r="B1202" s="156">
        <v>44540</v>
      </c>
      <c r="C1202" s="157">
        <v>25126.240000000002</v>
      </c>
    </row>
    <row r="1203" spans="2:3">
      <c r="B1203" s="156">
        <v>44539</v>
      </c>
      <c r="C1203" s="157">
        <v>25134.23</v>
      </c>
    </row>
    <row r="1204" spans="2:3">
      <c r="B1204" s="156">
        <v>44538</v>
      </c>
      <c r="C1204" s="157">
        <v>25066.62</v>
      </c>
    </row>
    <row r="1205" spans="2:3">
      <c r="B1205" s="156">
        <v>44537</v>
      </c>
      <c r="C1205" s="157">
        <v>24646.18</v>
      </c>
    </row>
    <row r="1206" spans="2:3">
      <c r="B1206" s="156">
        <v>44536</v>
      </c>
      <c r="C1206" s="157">
        <v>24266.71</v>
      </c>
    </row>
    <row r="1207" spans="2:3">
      <c r="B1207" s="156">
        <v>44533</v>
      </c>
      <c r="C1207" s="157">
        <v>24674.83</v>
      </c>
    </row>
    <row r="1208" spans="2:3">
      <c r="B1208" s="156">
        <v>44532</v>
      </c>
      <c r="C1208" s="157">
        <v>24968.91</v>
      </c>
    </row>
    <row r="1209" spans="2:3">
      <c r="B1209" s="156">
        <v>44531</v>
      </c>
      <c r="C1209" s="157">
        <v>24632.06</v>
      </c>
    </row>
    <row r="1210" spans="2:3">
      <c r="B1210" s="156">
        <v>44530</v>
      </c>
      <c r="C1210" s="157">
        <v>24368.53</v>
      </c>
    </row>
    <row r="1211" spans="2:3">
      <c r="B1211" s="156">
        <v>44529</v>
      </c>
      <c r="C1211" s="157">
        <v>24469.99</v>
      </c>
    </row>
    <row r="1212" spans="2:3">
      <c r="B1212" s="156">
        <v>44526</v>
      </c>
      <c r="C1212" s="157">
        <v>24430.53</v>
      </c>
    </row>
    <row r="1213" spans="2:3">
      <c r="B1213" s="156">
        <v>44525</v>
      </c>
      <c r="C1213" s="157">
        <v>25162.07</v>
      </c>
    </row>
    <row r="1214" spans="2:3">
      <c r="B1214" s="156">
        <v>44524</v>
      </c>
      <c r="C1214" s="157">
        <v>24988.18</v>
      </c>
    </row>
    <row r="1215" spans="2:3">
      <c r="B1215" s="156">
        <v>44523</v>
      </c>
      <c r="C1215" s="157">
        <v>25114.82</v>
      </c>
    </row>
    <row r="1216" spans="2:3">
      <c r="B1216" s="156">
        <v>44522</v>
      </c>
      <c r="C1216" s="157">
        <v>24990.27</v>
      </c>
    </row>
    <row r="1217" spans="2:3">
      <c r="B1217" s="156">
        <v>44518</v>
      </c>
      <c r="C1217" s="157">
        <v>25483.23</v>
      </c>
    </row>
    <row r="1218" spans="2:3">
      <c r="B1218" s="156">
        <v>44517</v>
      </c>
      <c r="C1218" s="157">
        <v>25675.200000000001</v>
      </c>
    </row>
    <row r="1219" spans="2:3">
      <c r="B1219" s="156">
        <v>44516</v>
      </c>
      <c r="C1219" s="157">
        <v>25819.49</v>
      </c>
    </row>
    <row r="1220" spans="2:3">
      <c r="B1220" s="156">
        <v>44515</v>
      </c>
      <c r="C1220" s="157">
        <v>25977.61</v>
      </c>
    </row>
    <row r="1221" spans="2:3">
      <c r="B1221" s="156">
        <v>44512</v>
      </c>
      <c r="C1221" s="157">
        <v>25968.02</v>
      </c>
    </row>
    <row r="1222" spans="2:3">
      <c r="B1222" s="156">
        <v>44511</v>
      </c>
      <c r="C1222" s="157">
        <v>25639.32</v>
      </c>
    </row>
    <row r="1223" spans="2:3">
      <c r="B1223" s="156">
        <v>44510</v>
      </c>
      <c r="C1223" s="157">
        <v>25839.47</v>
      </c>
    </row>
    <row r="1224" spans="2:3">
      <c r="B1224" s="156">
        <v>44509</v>
      </c>
      <c r="C1224" s="157">
        <v>25878.28</v>
      </c>
    </row>
    <row r="1225" spans="2:3">
      <c r="B1225" s="156">
        <v>44508</v>
      </c>
      <c r="C1225" s="157">
        <v>25913.09</v>
      </c>
    </row>
    <row r="1226" spans="2:3">
      <c r="B1226" s="156">
        <v>44503</v>
      </c>
      <c r="C1226" s="157">
        <v>25569.86</v>
      </c>
    </row>
    <row r="1227" spans="2:3">
      <c r="B1227" s="156">
        <v>44502</v>
      </c>
      <c r="C1227" s="157">
        <v>25655.51</v>
      </c>
    </row>
    <row r="1228" spans="2:3">
      <c r="B1228" s="156">
        <v>44501</v>
      </c>
      <c r="C1228" s="157">
        <v>25710.799999999999</v>
      </c>
    </row>
    <row r="1229" spans="2:3">
      <c r="B1229" s="156">
        <v>44498</v>
      </c>
      <c r="C1229" s="157">
        <v>25340.83</v>
      </c>
    </row>
    <row r="1230" spans="2:3">
      <c r="B1230" s="156">
        <v>44497</v>
      </c>
      <c r="C1230" s="157">
        <v>25606.99</v>
      </c>
    </row>
    <row r="1231" spans="2:3">
      <c r="B1231" s="156">
        <v>44496</v>
      </c>
      <c r="C1231" s="157">
        <v>26113.62</v>
      </c>
    </row>
    <row r="1232" spans="2:3">
      <c r="B1232" s="156">
        <v>44495</v>
      </c>
      <c r="C1232" s="157">
        <v>26196.05</v>
      </c>
    </row>
    <row r="1233" spans="2:3">
      <c r="B1233" s="156">
        <v>44494</v>
      </c>
      <c r="C1233" s="157">
        <v>25967.040000000001</v>
      </c>
    </row>
    <row r="1234" spans="2:3">
      <c r="B1234" s="156">
        <v>44491</v>
      </c>
      <c r="C1234" s="157">
        <v>25952.01</v>
      </c>
    </row>
    <row r="1235" spans="2:3">
      <c r="B1235" s="156">
        <v>44490</v>
      </c>
      <c r="C1235" s="157">
        <v>26042.59</v>
      </c>
    </row>
    <row r="1236" spans="2:3">
      <c r="B1236" s="156">
        <v>44489</v>
      </c>
      <c r="C1236" s="157">
        <v>26165.78</v>
      </c>
    </row>
    <row r="1237" spans="2:3">
      <c r="B1237" s="156">
        <v>44488</v>
      </c>
      <c r="C1237" s="157">
        <v>26383.71</v>
      </c>
    </row>
    <row r="1238" spans="2:3">
      <c r="B1238" s="156">
        <v>44487</v>
      </c>
      <c r="C1238" s="157">
        <v>26467.21</v>
      </c>
    </row>
    <row r="1239" spans="2:3">
      <c r="B1239" s="156">
        <v>44483</v>
      </c>
      <c r="C1239" s="157">
        <v>26268.83</v>
      </c>
    </row>
    <row r="1240" spans="2:3">
      <c r="B1240" s="156">
        <v>44482</v>
      </c>
      <c r="C1240" s="157">
        <v>26013.19</v>
      </c>
    </row>
    <row r="1241" spans="2:3">
      <c r="B1241" s="156">
        <v>44481</v>
      </c>
      <c r="C1241" s="157">
        <v>25770.01</v>
      </c>
    </row>
    <row r="1242" spans="2:3">
      <c r="B1242" s="156">
        <v>44480</v>
      </c>
      <c r="C1242" s="157">
        <v>25704.1</v>
      </c>
    </row>
    <row r="1243" spans="2:3">
      <c r="B1243" s="156">
        <v>44477</v>
      </c>
      <c r="C1243" s="157">
        <v>25631.38</v>
      </c>
    </row>
    <row r="1244" spans="2:3">
      <c r="B1244" s="156">
        <v>44476</v>
      </c>
      <c r="C1244" s="157">
        <v>25481.26</v>
      </c>
    </row>
    <row r="1245" spans="2:3">
      <c r="B1245" s="156">
        <v>44475</v>
      </c>
      <c r="C1245" s="157">
        <v>25274.48</v>
      </c>
    </row>
    <row r="1246" spans="2:3">
      <c r="B1246" s="156">
        <v>44474</v>
      </c>
      <c r="C1246" s="157">
        <v>25526.98</v>
      </c>
    </row>
    <row r="1247" spans="2:3">
      <c r="B1247" s="156">
        <v>44473</v>
      </c>
      <c r="C1247" s="157">
        <v>25339.32</v>
      </c>
    </row>
    <row r="1248" spans="2:3">
      <c r="B1248" s="156">
        <v>44470</v>
      </c>
      <c r="C1248" s="157">
        <v>25111.25</v>
      </c>
    </row>
    <row r="1249" spans="2:3">
      <c r="B1249" s="156">
        <v>44469</v>
      </c>
      <c r="C1249" s="157">
        <v>25234.57</v>
      </c>
    </row>
    <row r="1250" spans="2:3">
      <c r="B1250" s="156">
        <v>44468</v>
      </c>
      <c r="C1250" s="157">
        <v>25367.99</v>
      </c>
    </row>
    <row r="1251" spans="2:3">
      <c r="B1251" s="156">
        <v>44467</v>
      </c>
      <c r="C1251" s="157">
        <v>25421.46</v>
      </c>
    </row>
    <row r="1252" spans="2:3">
      <c r="B1252" s="156">
        <v>44466</v>
      </c>
      <c r="C1252" s="157">
        <v>25573.99</v>
      </c>
    </row>
    <row r="1253" spans="2:3">
      <c r="B1253" s="156">
        <v>44463</v>
      </c>
      <c r="C1253" s="157">
        <v>25571.24</v>
      </c>
    </row>
    <row r="1254" spans="2:3">
      <c r="B1254" s="156">
        <v>44462</v>
      </c>
      <c r="C1254" s="157">
        <v>25527.919999999998</v>
      </c>
    </row>
    <row r="1255" spans="2:3">
      <c r="B1255" s="156">
        <v>44461</v>
      </c>
      <c r="C1255" s="157">
        <v>25132.15</v>
      </c>
    </row>
    <row r="1256" spans="2:3">
      <c r="B1256" s="156">
        <v>44460</v>
      </c>
      <c r="C1256" s="157">
        <v>25154.16</v>
      </c>
    </row>
    <row r="1257" spans="2:3">
      <c r="B1257" s="156">
        <v>44459</v>
      </c>
      <c r="C1257" s="157">
        <v>24917.72</v>
      </c>
    </row>
    <row r="1258" spans="2:3">
      <c r="B1258" s="156">
        <v>44456</v>
      </c>
      <c r="C1258" s="157">
        <v>25187.34</v>
      </c>
    </row>
    <row r="1259" spans="2:3">
      <c r="B1259" s="156">
        <v>44455</v>
      </c>
      <c r="C1259" s="157">
        <v>25250.87</v>
      </c>
    </row>
    <row r="1260" spans="2:3">
      <c r="B1260" s="156">
        <v>44454</v>
      </c>
      <c r="C1260" s="157">
        <v>25093.22</v>
      </c>
    </row>
    <row r="1261" spans="2:3">
      <c r="B1261" s="156">
        <v>44453</v>
      </c>
      <c r="C1261" s="157">
        <v>24893.51</v>
      </c>
    </row>
    <row r="1262" spans="2:3">
      <c r="B1262" s="156">
        <v>44452</v>
      </c>
      <c r="C1262" s="157">
        <v>24858.12</v>
      </c>
    </row>
    <row r="1263" spans="2:3">
      <c r="B1263" s="156">
        <v>44448</v>
      </c>
      <c r="C1263" s="157">
        <v>24878.09</v>
      </c>
    </row>
    <row r="1264" spans="2:3">
      <c r="B1264" s="156">
        <v>44447</v>
      </c>
      <c r="C1264" s="157">
        <v>24855.5</v>
      </c>
    </row>
    <row r="1265" spans="2:3">
      <c r="B1265" s="156">
        <v>44446</v>
      </c>
      <c r="C1265" s="157">
        <v>24857.27</v>
      </c>
    </row>
    <row r="1266" spans="2:3">
      <c r="B1266" s="156">
        <v>44445</v>
      </c>
      <c r="C1266" s="157">
        <v>24879.79</v>
      </c>
    </row>
    <row r="1267" spans="2:3">
      <c r="B1267" s="156">
        <v>44442</v>
      </c>
      <c r="C1267" s="157">
        <v>24802.17</v>
      </c>
    </row>
    <row r="1268" spans="2:3">
      <c r="B1268" s="156">
        <v>44441</v>
      </c>
      <c r="C1268" s="157">
        <v>24674.11</v>
      </c>
    </row>
    <row r="1269" spans="2:3">
      <c r="B1269" s="156">
        <v>44440</v>
      </c>
      <c r="C1269" s="157">
        <v>24445.62</v>
      </c>
    </row>
    <row r="1270" spans="2:3">
      <c r="B1270" s="156">
        <v>44439</v>
      </c>
      <c r="C1270" s="157">
        <v>24525.71</v>
      </c>
    </row>
    <row r="1271" spans="2:3">
      <c r="B1271" s="156">
        <v>44438</v>
      </c>
      <c r="C1271" s="157">
        <v>24237.8</v>
      </c>
    </row>
    <row r="1272" spans="2:3">
      <c r="B1272" s="156">
        <v>44435</v>
      </c>
      <c r="C1272" s="157">
        <v>23914.48</v>
      </c>
    </row>
    <row r="1273" spans="2:3">
      <c r="B1273" s="156">
        <v>44434</v>
      </c>
      <c r="C1273" s="157">
        <v>23816.68</v>
      </c>
    </row>
    <row r="1274" spans="2:3">
      <c r="B1274" s="156">
        <v>44433</v>
      </c>
      <c r="C1274" s="157">
        <v>23813.43</v>
      </c>
    </row>
    <row r="1275" spans="2:3">
      <c r="B1275" s="156">
        <v>44432</v>
      </c>
      <c r="C1275" s="157">
        <v>23799.1</v>
      </c>
    </row>
    <row r="1276" spans="2:3">
      <c r="B1276" s="156">
        <v>44431</v>
      </c>
      <c r="C1276" s="157">
        <v>23615.61</v>
      </c>
    </row>
    <row r="1277" spans="2:3">
      <c r="B1277" s="156">
        <v>44428</v>
      </c>
      <c r="C1277" s="157">
        <v>23549.09</v>
      </c>
    </row>
    <row r="1278" spans="2:3">
      <c r="B1278" s="156">
        <v>44426</v>
      </c>
      <c r="C1278" s="157">
        <v>23718.57</v>
      </c>
    </row>
    <row r="1279" spans="2:3">
      <c r="B1279" s="156">
        <v>44425</v>
      </c>
      <c r="C1279" s="157">
        <v>23784.05</v>
      </c>
    </row>
    <row r="1280" spans="2:3">
      <c r="B1280" s="156">
        <v>44424</v>
      </c>
      <c r="C1280" s="157">
        <v>23708.38</v>
      </c>
    </row>
    <row r="1281" spans="2:3">
      <c r="B1281" s="156">
        <v>44421</v>
      </c>
      <c r="C1281" s="157">
        <v>23659.78</v>
      </c>
    </row>
    <row r="1282" spans="2:3">
      <c r="B1282" s="156">
        <v>44420</v>
      </c>
      <c r="C1282" s="157">
        <v>23424.04</v>
      </c>
    </row>
    <row r="1283" spans="2:3">
      <c r="B1283" s="156">
        <v>44419</v>
      </c>
      <c r="C1283" s="157">
        <v>23303.89</v>
      </c>
    </row>
    <row r="1284" spans="2:3">
      <c r="B1284" s="156">
        <v>44418</v>
      </c>
      <c r="C1284" s="157">
        <v>23300.36</v>
      </c>
    </row>
    <row r="1285" spans="2:3">
      <c r="B1285" s="156">
        <v>44417</v>
      </c>
      <c r="C1285" s="157">
        <v>23269.119999999999</v>
      </c>
    </row>
    <row r="1286" spans="2:3">
      <c r="B1286" s="156">
        <v>44414</v>
      </c>
      <c r="C1286" s="157">
        <v>23238.83</v>
      </c>
    </row>
    <row r="1287" spans="2:3">
      <c r="B1287" s="156">
        <v>44413</v>
      </c>
      <c r="C1287" s="157">
        <v>23319.53</v>
      </c>
    </row>
    <row r="1288" spans="2:3">
      <c r="B1288" s="156">
        <v>44412</v>
      </c>
      <c r="C1288" s="157">
        <v>23265.07</v>
      </c>
    </row>
    <row r="1289" spans="2:3">
      <c r="B1289" s="156">
        <v>44411</v>
      </c>
      <c r="C1289" s="157">
        <v>23081.86</v>
      </c>
    </row>
    <row r="1290" spans="2:3">
      <c r="B1290" s="156">
        <v>44410</v>
      </c>
      <c r="C1290" s="157">
        <v>22730.42</v>
      </c>
    </row>
    <row r="1291" spans="2:3">
      <c r="B1291" s="156">
        <v>44407</v>
      </c>
      <c r="C1291" s="157">
        <v>22554.26</v>
      </c>
    </row>
    <row r="1292" spans="2:3">
      <c r="B1292" s="156">
        <v>44406</v>
      </c>
      <c r="C1292" s="157">
        <v>22576.34</v>
      </c>
    </row>
    <row r="1293" spans="2:3">
      <c r="B1293" s="156">
        <v>44405</v>
      </c>
      <c r="C1293" s="157">
        <v>22472.95</v>
      </c>
    </row>
    <row r="1294" spans="2:3">
      <c r="B1294" s="156">
        <v>44404</v>
      </c>
      <c r="C1294" s="157">
        <v>22518.799999999999</v>
      </c>
    </row>
    <row r="1295" spans="2:3">
      <c r="B1295" s="156">
        <v>44403</v>
      </c>
      <c r="C1295" s="157">
        <v>22628.19</v>
      </c>
    </row>
    <row r="1296" spans="2:3">
      <c r="B1296" s="156">
        <v>44400</v>
      </c>
      <c r="C1296" s="157">
        <v>22673.35</v>
      </c>
    </row>
    <row r="1297" spans="2:3">
      <c r="B1297" s="156">
        <v>44399</v>
      </c>
      <c r="C1297" s="157">
        <v>22621.45</v>
      </c>
    </row>
    <row r="1298" spans="2:3">
      <c r="B1298" s="156">
        <v>44397</v>
      </c>
      <c r="C1298" s="157">
        <v>22344.81</v>
      </c>
    </row>
    <row r="1299" spans="2:3">
      <c r="B1299" s="156">
        <v>44396</v>
      </c>
      <c r="C1299" s="157">
        <v>22516.71</v>
      </c>
    </row>
    <row r="1300" spans="2:3">
      <c r="B1300" s="156">
        <v>44393</v>
      </c>
      <c r="C1300" s="157">
        <v>22761.200000000001</v>
      </c>
    </row>
    <row r="1301" spans="2:3">
      <c r="B1301" s="156">
        <v>44392</v>
      </c>
      <c r="C1301" s="157">
        <v>22762.34</v>
      </c>
    </row>
    <row r="1302" spans="2:3">
      <c r="B1302" s="156">
        <v>44391</v>
      </c>
      <c r="C1302" s="157">
        <v>22656.78</v>
      </c>
    </row>
    <row r="1303" spans="2:3">
      <c r="B1303" s="156">
        <v>44390</v>
      </c>
      <c r="C1303" s="157">
        <v>22595.49</v>
      </c>
    </row>
    <row r="1304" spans="2:3">
      <c r="B1304" s="156">
        <v>44389</v>
      </c>
      <c r="C1304" s="157">
        <v>22424.39</v>
      </c>
    </row>
    <row r="1305" spans="2:3">
      <c r="B1305" s="156">
        <v>44386</v>
      </c>
      <c r="C1305" s="157">
        <v>22420.36</v>
      </c>
    </row>
    <row r="1306" spans="2:3">
      <c r="B1306" s="156">
        <v>44385</v>
      </c>
      <c r="C1306" s="157">
        <v>22473.81</v>
      </c>
    </row>
    <row r="1307" spans="2:3">
      <c r="B1307" s="156">
        <v>44384</v>
      </c>
      <c r="C1307" s="157">
        <v>22683.66</v>
      </c>
    </row>
    <row r="1308" spans="2:3">
      <c r="B1308" s="156">
        <v>44383</v>
      </c>
      <c r="C1308" s="157">
        <v>22595.93</v>
      </c>
    </row>
    <row r="1309" spans="2:3">
      <c r="B1309" s="156">
        <v>44382</v>
      </c>
      <c r="C1309" s="157">
        <v>22618.97</v>
      </c>
    </row>
    <row r="1310" spans="2:3">
      <c r="B1310" s="156">
        <v>44379</v>
      </c>
      <c r="C1310" s="157">
        <v>22456.66</v>
      </c>
    </row>
    <row r="1311" spans="2:3">
      <c r="B1311" s="156">
        <v>44378</v>
      </c>
      <c r="C1311" s="157">
        <v>22396.400000000001</v>
      </c>
    </row>
    <row r="1312" spans="2:3">
      <c r="B1312" s="156">
        <v>44377</v>
      </c>
      <c r="C1312" s="157">
        <v>22455.7</v>
      </c>
    </row>
    <row r="1313" spans="2:3">
      <c r="B1313" s="156">
        <v>44376</v>
      </c>
      <c r="C1313" s="157">
        <v>22493.599999999999</v>
      </c>
    </row>
    <row r="1314" spans="2:3">
      <c r="B1314" s="156">
        <v>44375</v>
      </c>
      <c r="C1314" s="157">
        <v>22578.86</v>
      </c>
    </row>
    <row r="1315" spans="2:3">
      <c r="B1315" s="156">
        <v>44372</v>
      </c>
      <c r="C1315" s="157">
        <v>22644.06</v>
      </c>
    </row>
    <row r="1316" spans="2:3">
      <c r="B1316" s="156">
        <v>44371</v>
      </c>
      <c r="C1316" s="157">
        <v>22544.26</v>
      </c>
    </row>
    <row r="1317" spans="2:3">
      <c r="B1317" s="156">
        <v>44370</v>
      </c>
      <c r="C1317" s="157">
        <v>22395.25</v>
      </c>
    </row>
    <row r="1318" spans="2:3">
      <c r="B1318" s="156">
        <v>44369</v>
      </c>
      <c r="C1318" s="157">
        <v>22517.74</v>
      </c>
    </row>
    <row r="1319" spans="2:3">
      <c r="B1319" s="156">
        <v>44368</v>
      </c>
      <c r="C1319" s="157">
        <v>22480.3</v>
      </c>
    </row>
    <row r="1320" spans="2:3">
      <c r="B1320" s="156">
        <v>44365</v>
      </c>
      <c r="C1320" s="157">
        <v>22390.11</v>
      </c>
    </row>
    <row r="1321" spans="2:3">
      <c r="B1321" s="156">
        <v>44364</v>
      </c>
      <c r="C1321" s="157">
        <v>22401.65</v>
      </c>
    </row>
    <row r="1322" spans="2:3">
      <c r="B1322" s="156">
        <v>44363</v>
      </c>
      <c r="C1322" s="157">
        <v>22503.9</v>
      </c>
    </row>
    <row r="1323" spans="2:3">
      <c r="B1323" s="156">
        <v>44362</v>
      </c>
      <c r="C1323" s="157">
        <v>22649.05</v>
      </c>
    </row>
    <row r="1324" spans="2:3">
      <c r="B1324" s="156">
        <v>44361</v>
      </c>
      <c r="C1324" s="157">
        <v>22567.11</v>
      </c>
    </row>
    <row r="1325" spans="2:3">
      <c r="B1325" s="156">
        <v>44358</v>
      </c>
      <c r="C1325" s="157">
        <v>22544.26</v>
      </c>
    </row>
    <row r="1326" spans="2:3">
      <c r="B1326" s="156">
        <v>44357</v>
      </c>
      <c r="C1326" s="157">
        <v>22448.94</v>
      </c>
    </row>
    <row r="1327" spans="2:3">
      <c r="B1327" s="156">
        <v>44356</v>
      </c>
      <c r="C1327" s="157">
        <v>22283.52</v>
      </c>
    </row>
    <row r="1328" spans="2:3">
      <c r="B1328" s="156">
        <v>44355</v>
      </c>
      <c r="C1328" s="157">
        <v>22432.77</v>
      </c>
    </row>
    <row r="1329" spans="2:3">
      <c r="B1329" s="156">
        <v>44354</v>
      </c>
      <c r="C1329" s="157">
        <v>22449.24</v>
      </c>
    </row>
    <row r="1330" spans="2:3">
      <c r="B1330" s="156">
        <v>44351</v>
      </c>
      <c r="C1330" s="157">
        <v>22333.23</v>
      </c>
    </row>
    <row r="1331" spans="2:3">
      <c r="B1331" s="156">
        <v>44350</v>
      </c>
      <c r="C1331" s="157">
        <v>22361.86</v>
      </c>
    </row>
    <row r="1332" spans="2:3">
      <c r="B1332" s="156">
        <v>44349</v>
      </c>
      <c r="C1332" s="157">
        <v>22194.18</v>
      </c>
    </row>
    <row r="1333" spans="2:3">
      <c r="B1333" s="156">
        <v>44348</v>
      </c>
      <c r="C1333" s="157">
        <v>22192.25</v>
      </c>
    </row>
    <row r="1334" spans="2:3">
      <c r="B1334" s="156">
        <v>44347</v>
      </c>
      <c r="C1334" s="157">
        <v>22203.59</v>
      </c>
    </row>
    <row r="1335" spans="2:3">
      <c r="B1335" s="156">
        <v>44344</v>
      </c>
      <c r="C1335" s="157">
        <v>21962.31</v>
      </c>
    </row>
    <row r="1336" spans="2:3">
      <c r="B1336" s="156">
        <v>44343</v>
      </c>
      <c r="C1336" s="157">
        <v>21823.14</v>
      </c>
    </row>
    <row r="1337" spans="2:3">
      <c r="B1337" s="156">
        <v>44342</v>
      </c>
      <c r="C1337" s="157">
        <v>21771.35</v>
      </c>
    </row>
    <row r="1338" spans="2:3">
      <c r="B1338" s="156">
        <v>44341</v>
      </c>
      <c r="C1338" s="157">
        <v>21639.040000000001</v>
      </c>
    </row>
    <row r="1339" spans="2:3">
      <c r="B1339" s="156">
        <v>44340</v>
      </c>
      <c r="C1339" s="157">
        <v>21617.03</v>
      </c>
    </row>
    <row r="1340" spans="2:3">
      <c r="B1340" s="156">
        <v>44337</v>
      </c>
      <c r="C1340" s="157">
        <v>21585.18</v>
      </c>
    </row>
    <row r="1341" spans="2:3">
      <c r="B1341" s="156">
        <v>44336</v>
      </c>
      <c r="C1341" s="157">
        <v>21202.21</v>
      </c>
    </row>
    <row r="1342" spans="2:3">
      <c r="B1342" s="156">
        <v>44335</v>
      </c>
      <c r="C1342" s="157">
        <v>21378.71</v>
      </c>
    </row>
    <row r="1343" spans="2:3">
      <c r="B1343" s="156">
        <v>44334</v>
      </c>
      <c r="C1343" s="157">
        <v>21489.56</v>
      </c>
    </row>
    <row r="1344" spans="2:3">
      <c r="B1344" s="156">
        <v>44333</v>
      </c>
      <c r="C1344" s="157">
        <v>21226.53</v>
      </c>
    </row>
    <row r="1345" spans="2:3">
      <c r="B1345" s="156">
        <v>44330</v>
      </c>
      <c r="C1345" s="157">
        <v>20877.560000000001</v>
      </c>
    </row>
    <row r="1346" spans="2:3">
      <c r="B1346" s="156">
        <v>44328</v>
      </c>
      <c r="C1346" s="157">
        <v>20904.13</v>
      </c>
    </row>
    <row r="1347" spans="2:3">
      <c r="B1347" s="156">
        <v>44327</v>
      </c>
      <c r="C1347" s="157">
        <v>21123.53</v>
      </c>
    </row>
    <row r="1348" spans="2:3">
      <c r="B1348" s="156">
        <v>44326</v>
      </c>
      <c r="C1348" s="157">
        <v>21253.8</v>
      </c>
    </row>
    <row r="1349" spans="2:3">
      <c r="B1349" s="156">
        <v>44323</v>
      </c>
      <c r="C1349" s="157">
        <v>21084.26</v>
      </c>
    </row>
    <row r="1350" spans="2:3">
      <c r="B1350" s="156">
        <v>44322</v>
      </c>
      <c r="C1350" s="157">
        <v>20944.41</v>
      </c>
    </row>
    <row r="1351" spans="2:3">
      <c r="B1351" s="156">
        <v>44321</v>
      </c>
      <c r="C1351" s="157">
        <v>20792.240000000002</v>
      </c>
    </row>
    <row r="1352" spans="2:3">
      <c r="B1352" s="156">
        <v>44320</v>
      </c>
      <c r="C1352" s="157">
        <v>20619.62</v>
      </c>
    </row>
    <row r="1353" spans="2:3">
      <c r="B1353" s="156">
        <v>44319</v>
      </c>
      <c r="C1353" s="157">
        <v>20815.43</v>
      </c>
    </row>
    <row r="1354" spans="2:3">
      <c r="B1354" s="156">
        <v>44316</v>
      </c>
      <c r="C1354" s="157">
        <v>20811.13</v>
      </c>
    </row>
    <row r="1355" spans="2:3">
      <c r="B1355" s="156">
        <v>44315</v>
      </c>
      <c r="C1355" s="157">
        <v>21186.3</v>
      </c>
    </row>
    <row r="1356" spans="2:3">
      <c r="B1356" s="156">
        <v>44314</v>
      </c>
      <c r="C1356" s="157">
        <v>21136.41</v>
      </c>
    </row>
    <row r="1357" spans="2:3">
      <c r="B1357" s="156">
        <v>44313</v>
      </c>
      <c r="C1357" s="157">
        <v>20835.669999999998</v>
      </c>
    </row>
    <row r="1358" spans="2:3">
      <c r="B1358" s="156">
        <v>44312</v>
      </c>
      <c r="C1358" s="157">
        <v>20596.72</v>
      </c>
    </row>
    <row r="1359" spans="2:3">
      <c r="B1359" s="156">
        <v>44309</v>
      </c>
      <c r="C1359" s="157">
        <v>20392.439999999999</v>
      </c>
    </row>
    <row r="1360" spans="2:3">
      <c r="B1360" s="156">
        <v>44308</v>
      </c>
      <c r="C1360" s="157">
        <v>20484.63</v>
      </c>
    </row>
    <row r="1361" spans="2:3">
      <c r="B1361" s="156">
        <v>44306</v>
      </c>
      <c r="C1361" s="157">
        <v>20328.55</v>
      </c>
    </row>
    <row r="1362" spans="2:3">
      <c r="B1362" s="156">
        <v>44305</v>
      </c>
      <c r="C1362" s="157">
        <v>20418.16</v>
      </c>
    </row>
    <row r="1363" spans="2:3">
      <c r="B1363" s="156">
        <v>44302</v>
      </c>
      <c r="C1363" s="157">
        <v>20785.61</v>
      </c>
    </row>
    <row r="1364" spans="2:3">
      <c r="B1364" s="156">
        <v>44301</v>
      </c>
      <c r="C1364" s="157">
        <v>20733.88</v>
      </c>
    </row>
    <row r="1365" spans="2:3">
      <c r="B1365" s="156">
        <v>44299</v>
      </c>
      <c r="C1365" s="157">
        <v>20624.86</v>
      </c>
    </row>
    <row r="1366" spans="2:3">
      <c r="B1366" s="156">
        <v>44298</v>
      </c>
      <c r="C1366" s="157">
        <v>20348.990000000002</v>
      </c>
    </row>
    <row r="1367" spans="2:3">
      <c r="B1367" s="156">
        <v>44295</v>
      </c>
      <c r="C1367" s="157">
        <v>21094.17</v>
      </c>
    </row>
    <row r="1368" spans="2:3">
      <c r="B1368" s="156">
        <v>44294</v>
      </c>
      <c r="C1368" s="157">
        <v>21149.59</v>
      </c>
    </row>
    <row r="1369" spans="2:3">
      <c r="B1369" s="156">
        <v>44293</v>
      </c>
      <c r="C1369" s="157">
        <v>21069.32</v>
      </c>
    </row>
    <row r="1370" spans="2:3">
      <c r="B1370" s="156">
        <v>44292</v>
      </c>
      <c r="C1370" s="157">
        <v>20876.57</v>
      </c>
    </row>
    <row r="1371" spans="2:3">
      <c r="B1371" s="156">
        <v>44291</v>
      </c>
      <c r="C1371" s="157">
        <v>20811.61</v>
      </c>
    </row>
    <row r="1372" spans="2:3">
      <c r="B1372" s="156">
        <v>44287</v>
      </c>
      <c r="C1372" s="157">
        <v>21137.69</v>
      </c>
    </row>
    <row r="1373" spans="2:3">
      <c r="B1373" s="156">
        <v>44286</v>
      </c>
      <c r="C1373" s="157">
        <v>20886.52</v>
      </c>
    </row>
    <row r="1374" spans="2:3">
      <c r="B1374" s="156">
        <v>44285</v>
      </c>
      <c r="C1374" s="157">
        <v>21106.06</v>
      </c>
    </row>
    <row r="1375" spans="2:3">
      <c r="B1375" s="156">
        <v>44281</v>
      </c>
      <c r="C1375" s="157">
        <v>20625.79</v>
      </c>
    </row>
    <row r="1376" spans="2:3">
      <c r="B1376" s="156">
        <v>44280</v>
      </c>
      <c r="C1376" s="157">
        <v>20366.419999999998</v>
      </c>
    </row>
    <row r="1377" spans="2:3">
      <c r="B1377" s="156">
        <v>44279</v>
      </c>
      <c r="C1377" s="157">
        <v>20684.27</v>
      </c>
    </row>
    <row r="1378" spans="2:3">
      <c r="B1378" s="156">
        <v>44278</v>
      </c>
      <c r="C1378" s="157">
        <v>21061.52</v>
      </c>
    </row>
    <row r="1379" spans="2:3">
      <c r="B1379" s="156">
        <v>44277</v>
      </c>
      <c r="C1379" s="157">
        <v>20947.650000000001</v>
      </c>
    </row>
    <row r="1380" spans="2:3">
      <c r="B1380" s="156">
        <v>44274</v>
      </c>
      <c r="C1380" s="157">
        <v>20956.87</v>
      </c>
    </row>
    <row r="1381" spans="2:3">
      <c r="B1381" s="156">
        <v>44273</v>
      </c>
      <c r="C1381" s="157">
        <v>20692.34</v>
      </c>
    </row>
    <row r="1382" spans="2:3">
      <c r="B1382" s="156">
        <v>44272</v>
      </c>
      <c r="C1382" s="157">
        <v>20924.61</v>
      </c>
    </row>
    <row r="1383" spans="2:3">
      <c r="B1383" s="156">
        <v>44271</v>
      </c>
      <c r="C1383" s="157">
        <v>21193.46</v>
      </c>
    </row>
    <row r="1384" spans="2:3">
      <c r="B1384" s="156">
        <v>44270</v>
      </c>
      <c r="C1384" s="157">
        <v>21220.59</v>
      </c>
    </row>
    <row r="1385" spans="2:3">
      <c r="B1385" s="156">
        <v>44267</v>
      </c>
      <c r="C1385" s="157">
        <v>21361.29</v>
      </c>
    </row>
    <row r="1386" spans="2:3">
      <c r="B1386" s="156">
        <v>44265</v>
      </c>
      <c r="C1386" s="157">
        <v>21565.72</v>
      </c>
    </row>
    <row r="1387" spans="2:3">
      <c r="B1387" s="156">
        <v>44264</v>
      </c>
      <c r="C1387" s="157">
        <v>21457.17</v>
      </c>
    </row>
    <row r="1388" spans="2:3">
      <c r="B1388" s="156">
        <v>44263</v>
      </c>
      <c r="C1388" s="157">
        <v>21255.06</v>
      </c>
    </row>
    <row r="1389" spans="2:3">
      <c r="B1389" s="156">
        <v>44260</v>
      </c>
      <c r="C1389" s="157">
        <v>21225.94</v>
      </c>
    </row>
    <row r="1390" spans="2:3">
      <c r="B1390" s="156">
        <v>44259</v>
      </c>
      <c r="C1390" s="157">
        <v>21428.63</v>
      </c>
    </row>
    <row r="1391" spans="2:3">
      <c r="B1391" s="156">
        <v>44258</v>
      </c>
      <c r="C1391" s="157">
        <v>21662.92</v>
      </c>
    </row>
    <row r="1392" spans="2:3">
      <c r="B1392" s="156">
        <v>44257</v>
      </c>
      <c r="C1392" s="157">
        <v>21198.93</v>
      </c>
    </row>
    <row r="1393" spans="2:3">
      <c r="B1393" s="156">
        <v>44256</v>
      </c>
      <c r="C1393" s="157">
        <v>20975.08</v>
      </c>
    </row>
    <row r="1394" spans="2:3">
      <c r="B1394" s="156">
        <v>44253</v>
      </c>
      <c r="C1394" s="157">
        <v>20644.88</v>
      </c>
    </row>
    <row r="1395" spans="2:3">
      <c r="B1395" s="156">
        <v>44252</v>
      </c>
      <c r="C1395" s="157">
        <v>21452.240000000002</v>
      </c>
    </row>
    <row r="1396" spans="2:3">
      <c r="B1396" s="156">
        <v>44251</v>
      </c>
      <c r="C1396" s="157">
        <v>21288.35</v>
      </c>
    </row>
    <row r="1397" spans="2:3">
      <c r="B1397" s="156">
        <v>44250</v>
      </c>
      <c r="C1397" s="157">
        <v>20898.75</v>
      </c>
    </row>
    <row r="1398" spans="2:3">
      <c r="B1398" s="156">
        <v>44249</v>
      </c>
      <c r="C1398" s="157">
        <v>20853.12</v>
      </c>
    </row>
    <row r="1399" spans="2:3">
      <c r="B1399" s="156">
        <v>44246</v>
      </c>
      <c r="C1399" s="157">
        <v>21273.279999999999</v>
      </c>
    </row>
    <row r="1400" spans="2:3">
      <c r="B1400" s="156">
        <v>44245</v>
      </c>
      <c r="C1400" s="157">
        <v>21468.11</v>
      </c>
    </row>
    <row r="1401" spans="2:3">
      <c r="B1401" s="156">
        <v>44244</v>
      </c>
      <c r="C1401" s="157">
        <v>21595.82</v>
      </c>
    </row>
    <row r="1402" spans="2:3">
      <c r="B1402" s="156">
        <v>44243</v>
      </c>
      <c r="C1402" s="157">
        <v>21737.9</v>
      </c>
    </row>
    <row r="1403" spans="2:3">
      <c r="B1403" s="156">
        <v>44242</v>
      </c>
      <c r="C1403" s="157">
        <v>21739.69</v>
      </c>
    </row>
    <row r="1404" spans="2:3">
      <c r="B1404" s="156">
        <v>44239</v>
      </c>
      <c r="C1404" s="157">
        <v>21521.82</v>
      </c>
    </row>
    <row r="1405" spans="2:3">
      <c r="B1405" s="156">
        <v>44238</v>
      </c>
      <c r="C1405" s="157">
        <v>21536</v>
      </c>
    </row>
    <row r="1406" spans="2:3">
      <c r="B1406" s="156">
        <v>44237</v>
      </c>
      <c r="C1406" s="157">
        <v>21436.44</v>
      </c>
    </row>
    <row r="1407" spans="2:3">
      <c r="B1407" s="156">
        <v>44236</v>
      </c>
      <c r="C1407" s="157">
        <v>21440.42</v>
      </c>
    </row>
    <row r="1408" spans="2:3">
      <c r="B1408" s="156">
        <v>44235</v>
      </c>
      <c r="C1408" s="157">
        <v>21447.64</v>
      </c>
    </row>
    <row r="1409" spans="2:3">
      <c r="B1409" s="156">
        <v>44232</v>
      </c>
      <c r="C1409" s="157">
        <v>21175.89</v>
      </c>
    </row>
    <row r="1410" spans="2:3">
      <c r="B1410" s="156">
        <v>44231</v>
      </c>
      <c r="C1410" s="157">
        <v>21135.31</v>
      </c>
    </row>
    <row r="1411" spans="2:3">
      <c r="B1411" s="156">
        <v>44230</v>
      </c>
      <c r="C1411" s="157">
        <v>20985.32</v>
      </c>
    </row>
    <row r="1412" spans="2:3">
      <c r="B1412" s="156">
        <v>44229</v>
      </c>
      <c r="C1412" s="157">
        <v>20783.689999999999</v>
      </c>
    </row>
    <row r="1413" spans="2:3">
      <c r="B1413" s="156">
        <v>44228</v>
      </c>
      <c r="C1413" s="157">
        <v>20263.439999999999</v>
      </c>
    </row>
    <row r="1414" spans="2:3">
      <c r="B1414" s="156">
        <v>44225</v>
      </c>
      <c r="C1414" s="157">
        <v>19346.03</v>
      </c>
    </row>
    <row r="1415" spans="2:3">
      <c r="B1415" s="156">
        <v>44224</v>
      </c>
      <c r="C1415" s="157">
        <v>19605.59</v>
      </c>
    </row>
    <row r="1416" spans="2:3">
      <c r="B1416" s="156">
        <v>44223</v>
      </c>
      <c r="C1416" s="157">
        <v>19818.34</v>
      </c>
    </row>
    <row r="1417" spans="2:3">
      <c r="B1417" s="156">
        <v>44221</v>
      </c>
      <c r="C1417" s="157">
        <v>20201.900000000001</v>
      </c>
    </row>
    <row r="1418" spans="2:3">
      <c r="B1418" s="156">
        <v>44218</v>
      </c>
      <c r="C1418" s="157">
        <v>20390.57</v>
      </c>
    </row>
    <row r="1419" spans="2:3">
      <c r="B1419" s="156">
        <v>44217</v>
      </c>
      <c r="C1419" s="157">
        <v>20700.02</v>
      </c>
    </row>
    <row r="1420" spans="2:3">
      <c r="B1420" s="156">
        <v>44216</v>
      </c>
      <c r="C1420" s="157">
        <v>20775.669999999998</v>
      </c>
    </row>
    <row r="1421" spans="2:3">
      <c r="B1421" s="156">
        <v>44215</v>
      </c>
      <c r="C1421" s="157">
        <v>20600.41</v>
      </c>
    </row>
    <row r="1422" spans="2:3">
      <c r="B1422" s="156">
        <v>44214</v>
      </c>
      <c r="C1422" s="157">
        <v>20260.18</v>
      </c>
    </row>
    <row r="1423" spans="2:3">
      <c r="B1423" s="156">
        <v>44211</v>
      </c>
      <c r="C1423" s="157">
        <v>20476.38</v>
      </c>
    </row>
    <row r="1424" spans="2:3">
      <c r="B1424" s="156">
        <v>44210</v>
      </c>
      <c r="C1424" s="157">
        <v>20706.07</v>
      </c>
    </row>
    <row r="1425" spans="2:3">
      <c r="B1425" s="156">
        <v>44209</v>
      </c>
      <c r="C1425" s="157">
        <v>20660.349999999999</v>
      </c>
    </row>
    <row r="1426" spans="2:3">
      <c r="B1426" s="156">
        <v>44208</v>
      </c>
      <c r="C1426" s="157">
        <v>20658.34</v>
      </c>
    </row>
    <row r="1427" spans="2:3">
      <c r="B1427" s="156">
        <v>44207</v>
      </c>
      <c r="C1427" s="157">
        <v>20546.740000000002</v>
      </c>
    </row>
    <row r="1428" spans="2:3">
      <c r="B1428" s="156">
        <v>44204</v>
      </c>
      <c r="C1428" s="157">
        <v>20351.669999999998</v>
      </c>
    </row>
    <row r="1429" spans="2:3">
      <c r="B1429" s="156">
        <v>44203</v>
      </c>
      <c r="C1429" s="157">
        <v>20053.97</v>
      </c>
    </row>
    <row r="1430" spans="2:3">
      <c r="B1430" s="156">
        <v>44202</v>
      </c>
      <c r="C1430" s="157">
        <v>20066.560000000001</v>
      </c>
    </row>
    <row r="1431" spans="2:3">
      <c r="B1431" s="156">
        <v>44201</v>
      </c>
      <c r="C1431" s="157">
        <v>20142.13</v>
      </c>
    </row>
    <row r="1432" spans="2:3">
      <c r="B1432" s="156">
        <v>44200</v>
      </c>
      <c r="C1432" s="157">
        <v>20047.61</v>
      </c>
    </row>
    <row r="1433" spans="2:3">
      <c r="B1433" s="156">
        <v>44197</v>
      </c>
      <c r="C1433" s="157">
        <v>19885.36</v>
      </c>
    </row>
    <row r="1434" spans="2:3">
      <c r="B1434" s="156">
        <v>44196</v>
      </c>
      <c r="C1434" s="157">
        <v>19833.189999999999</v>
      </c>
    </row>
    <row r="1435" spans="2:3">
      <c r="B1435" s="156">
        <v>44195</v>
      </c>
      <c r="C1435" s="157">
        <v>19833.53</v>
      </c>
    </row>
    <row r="1436" spans="2:3">
      <c r="B1436" s="156">
        <v>44194</v>
      </c>
      <c r="C1436" s="157">
        <v>19763.509999999998</v>
      </c>
    </row>
    <row r="1437" spans="2:3">
      <c r="B1437" s="156">
        <v>44193</v>
      </c>
      <c r="C1437" s="157">
        <v>19679.240000000002</v>
      </c>
    </row>
    <row r="1438" spans="2:3">
      <c r="B1438" s="156">
        <v>44189</v>
      </c>
      <c r="C1438" s="157">
        <v>19503.400000000001</v>
      </c>
    </row>
    <row r="1439" spans="2:3">
      <c r="B1439" s="156">
        <v>44188</v>
      </c>
      <c r="C1439" s="157">
        <v>19293.259999999998</v>
      </c>
    </row>
    <row r="1440" spans="2:3">
      <c r="B1440" s="156">
        <v>44187</v>
      </c>
      <c r="C1440" s="157">
        <v>19102.060000000001</v>
      </c>
    </row>
    <row r="1441" spans="2:3">
      <c r="B1441" s="156">
        <v>44186</v>
      </c>
      <c r="C1441" s="157">
        <v>18906.45</v>
      </c>
    </row>
    <row r="1442" spans="2:3">
      <c r="B1442" s="156">
        <v>44183</v>
      </c>
      <c r="C1442" s="157">
        <v>19519.419999999998</v>
      </c>
    </row>
    <row r="1443" spans="2:3">
      <c r="B1443" s="156">
        <v>44182</v>
      </c>
      <c r="C1443" s="157">
        <v>19491.3</v>
      </c>
    </row>
    <row r="1444" spans="2:3">
      <c r="B1444" s="156">
        <v>44181</v>
      </c>
      <c r="C1444" s="157">
        <v>19404.8</v>
      </c>
    </row>
    <row r="1445" spans="2:3">
      <c r="B1445" s="156">
        <v>44180</v>
      </c>
      <c r="C1445" s="157">
        <v>19241.900000000001</v>
      </c>
    </row>
    <row r="1446" spans="2:3">
      <c r="B1446" s="156">
        <v>44179</v>
      </c>
      <c r="C1446" s="157">
        <v>19228.16</v>
      </c>
    </row>
    <row r="1447" spans="2:3">
      <c r="B1447" s="156">
        <v>44176</v>
      </c>
      <c r="C1447" s="157">
        <v>19165.330000000002</v>
      </c>
    </row>
    <row r="1448" spans="2:3">
      <c r="B1448" s="156">
        <v>44175</v>
      </c>
      <c r="C1448" s="157">
        <v>19114.96</v>
      </c>
    </row>
    <row r="1449" spans="2:3">
      <c r="B1449" s="156">
        <v>44174</v>
      </c>
      <c r="C1449" s="157">
        <v>19186.95</v>
      </c>
    </row>
    <row r="1450" spans="2:3">
      <c r="B1450" s="156">
        <v>44173</v>
      </c>
      <c r="C1450" s="157">
        <v>18993.86</v>
      </c>
    </row>
    <row r="1451" spans="2:3">
      <c r="B1451" s="156">
        <v>44172</v>
      </c>
      <c r="C1451" s="157">
        <v>18941.150000000001</v>
      </c>
    </row>
    <row r="1452" spans="2:3">
      <c r="B1452" s="156">
        <v>44169</v>
      </c>
      <c r="C1452" s="157">
        <v>18803.27</v>
      </c>
    </row>
    <row r="1453" spans="2:3">
      <c r="B1453" s="156">
        <v>44168</v>
      </c>
      <c r="C1453" s="157">
        <v>18626.53</v>
      </c>
    </row>
    <row r="1454" spans="2:3">
      <c r="B1454" s="156">
        <v>44167</v>
      </c>
      <c r="C1454" s="157">
        <v>18597.900000000001</v>
      </c>
    </row>
    <row r="1455" spans="2:3">
      <c r="B1455" s="156">
        <v>44166</v>
      </c>
      <c r="C1455" s="157">
        <v>18591.25</v>
      </c>
    </row>
    <row r="1456" spans="2:3">
      <c r="B1456" s="156">
        <v>44162</v>
      </c>
      <c r="C1456" s="157">
        <v>18392.54</v>
      </c>
    </row>
    <row r="1457" spans="2:3">
      <c r="B1457" s="156">
        <v>44161</v>
      </c>
      <c r="C1457" s="157">
        <v>18418.16</v>
      </c>
    </row>
    <row r="1458" spans="2:3">
      <c r="B1458" s="156">
        <v>44160</v>
      </c>
      <c r="C1458" s="157">
        <v>18235.759999999998</v>
      </c>
    </row>
    <row r="1459" spans="2:3">
      <c r="B1459" s="156">
        <v>44159</v>
      </c>
      <c r="C1459" s="157">
        <v>18514.82</v>
      </c>
    </row>
    <row r="1460" spans="2:3">
      <c r="B1460" s="156">
        <v>44158</v>
      </c>
      <c r="C1460" s="157">
        <v>18332.330000000002</v>
      </c>
    </row>
    <row r="1461" spans="2:3">
      <c r="B1461" s="156">
        <v>44155</v>
      </c>
      <c r="C1461" s="157">
        <v>18236.68</v>
      </c>
    </row>
    <row r="1462" spans="2:3">
      <c r="B1462" s="156">
        <v>44154</v>
      </c>
      <c r="C1462" s="157">
        <v>18112.830000000002</v>
      </c>
    </row>
    <row r="1463" spans="2:3">
      <c r="B1463" s="156">
        <v>44153</v>
      </c>
      <c r="C1463" s="157">
        <v>18349.02</v>
      </c>
    </row>
    <row r="1464" spans="2:3">
      <c r="B1464" s="156">
        <v>44152</v>
      </c>
      <c r="C1464" s="157">
        <v>18258.23</v>
      </c>
    </row>
    <row r="1465" spans="2:3">
      <c r="B1465" s="156">
        <v>44148</v>
      </c>
      <c r="C1465" s="157">
        <v>18039.439999999999</v>
      </c>
    </row>
    <row r="1466" spans="2:3">
      <c r="B1466" s="156">
        <v>44147</v>
      </c>
      <c r="C1466" s="157">
        <v>17998.11</v>
      </c>
    </row>
    <row r="1467" spans="2:3">
      <c r="B1467" s="156">
        <v>44146</v>
      </c>
      <c r="C1467" s="157">
        <v>18080.84</v>
      </c>
    </row>
    <row r="1468" spans="2:3">
      <c r="B1468" s="156">
        <v>44145</v>
      </c>
      <c r="C1468" s="157">
        <v>17913.400000000001</v>
      </c>
    </row>
    <row r="1469" spans="2:3">
      <c r="B1469" s="156">
        <v>44144</v>
      </c>
      <c r="C1469" s="157">
        <v>17672.25</v>
      </c>
    </row>
    <row r="1470" spans="2:3">
      <c r="B1470" s="156">
        <v>44141</v>
      </c>
      <c r="C1470" s="157">
        <v>17392.14</v>
      </c>
    </row>
    <row r="1471" spans="2:3">
      <c r="B1471" s="156">
        <v>44140</v>
      </c>
      <c r="C1471" s="157">
        <v>17189.03</v>
      </c>
    </row>
    <row r="1472" spans="2:3">
      <c r="B1472" s="156">
        <v>44139</v>
      </c>
      <c r="C1472" s="157">
        <v>16888.650000000001</v>
      </c>
    </row>
    <row r="1473" spans="2:3">
      <c r="B1473" s="156">
        <v>44138</v>
      </c>
      <c r="C1473" s="157">
        <v>16746.75</v>
      </c>
    </row>
    <row r="1474" spans="2:3">
      <c r="B1474" s="156">
        <v>44137</v>
      </c>
      <c r="C1474" s="157">
        <v>16542.080000000002</v>
      </c>
    </row>
    <row r="1475" spans="2:3">
      <c r="B1475" s="156">
        <v>44134</v>
      </c>
      <c r="C1475" s="157">
        <v>16504.16</v>
      </c>
    </row>
    <row r="1476" spans="2:3">
      <c r="B1476" s="156">
        <v>44133</v>
      </c>
      <c r="C1476" s="157">
        <v>16544.45</v>
      </c>
    </row>
    <row r="1477" spans="2:3">
      <c r="B1477" s="156">
        <v>44132</v>
      </c>
      <c r="C1477" s="157">
        <v>16623.13</v>
      </c>
    </row>
    <row r="1478" spans="2:3">
      <c r="B1478" s="156">
        <v>44131</v>
      </c>
      <c r="C1478" s="157">
        <v>16844.96</v>
      </c>
    </row>
    <row r="1479" spans="2:3">
      <c r="B1479" s="156">
        <v>44130</v>
      </c>
      <c r="C1479" s="157">
        <v>16672.62</v>
      </c>
    </row>
    <row r="1480" spans="2:3">
      <c r="B1480" s="156">
        <v>44127</v>
      </c>
      <c r="C1480" s="157">
        <v>16902.96</v>
      </c>
    </row>
    <row r="1481" spans="2:3">
      <c r="B1481" s="156">
        <v>44126</v>
      </c>
      <c r="C1481" s="157">
        <v>16840.52</v>
      </c>
    </row>
    <row r="1482" spans="2:3">
      <c r="B1482" s="156">
        <v>44125</v>
      </c>
      <c r="C1482" s="157">
        <v>16897.43</v>
      </c>
    </row>
    <row r="1483" spans="2:3">
      <c r="B1483" s="156">
        <v>44124</v>
      </c>
      <c r="C1483" s="157">
        <v>16839.599999999999</v>
      </c>
    </row>
    <row r="1484" spans="2:3">
      <c r="B1484" s="156">
        <v>44123</v>
      </c>
      <c r="C1484" s="157">
        <v>16805.97</v>
      </c>
    </row>
    <row r="1485" spans="2:3">
      <c r="B1485" s="156">
        <v>44120</v>
      </c>
      <c r="C1485" s="157">
        <v>16649.46</v>
      </c>
    </row>
    <row r="1486" spans="2:3">
      <c r="B1486" s="156">
        <v>44119</v>
      </c>
      <c r="C1486" s="157">
        <v>16533.240000000002</v>
      </c>
    </row>
    <row r="1487" spans="2:3">
      <c r="B1487" s="156">
        <v>44118</v>
      </c>
      <c r="C1487" s="157">
        <v>16944.73</v>
      </c>
    </row>
    <row r="1488" spans="2:3">
      <c r="B1488" s="156">
        <v>44117</v>
      </c>
      <c r="C1488" s="157">
        <v>16888.87</v>
      </c>
    </row>
    <row r="1489" spans="2:3">
      <c r="B1489" s="156">
        <v>44116</v>
      </c>
      <c r="C1489" s="157">
        <v>16883.84</v>
      </c>
    </row>
    <row r="1490" spans="2:3">
      <c r="B1490" s="156">
        <v>44113</v>
      </c>
      <c r="C1490" s="157">
        <v>16860.11</v>
      </c>
    </row>
    <row r="1491" spans="2:3">
      <c r="B1491" s="156">
        <v>44112</v>
      </c>
      <c r="C1491" s="157">
        <v>16747.48</v>
      </c>
    </row>
    <row r="1492" spans="2:3">
      <c r="B1492" s="156">
        <v>44111</v>
      </c>
      <c r="C1492" s="157">
        <v>16611.96</v>
      </c>
    </row>
    <row r="1493" spans="2:3">
      <c r="B1493" s="156">
        <v>44110</v>
      </c>
      <c r="C1493" s="157">
        <v>16503.77</v>
      </c>
    </row>
    <row r="1494" spans="2:3">
      <c r="B1494" s="156">
        <v>44109</v>
      </c>
      <c r="C1494" s="157">
        <v>16278.72</v>
      </c>
    </row>
    <row r="1495" spans="2:3">
      <c r="B1495" s="156">
        <v>44105</v>
      </c>
      <c r="C1495" s="157">
        <v>16156.44</v>
      </c>
    </row>
    <row r="1496" spans="2:3">
      <c r="B1496" s="156">
        <v>44104</v>
      </c>
      <c r="C1496" s="157">
        <v>15916.72</v>
      </c>
    </row>
    <row r="1497" spans="2:3">
      <c r="B1497" s="156">
        <v>44103</v>
      </c>
      <c r="C1497" s="157">
        <v>15881.16</v>
      </c>
    </row>
    <row r="1498" spans="2:3">
      <c r="B1498" s="156">
        <v>44102</v>
      </c>
      <c r="C1498" s="157">
        <v>15888.44</v>
      </c>
    </row>
    <row r="1499" spans="2:3">
      <c r="B1499" s="156">
        <v>44099</v>
      </c>
      <c r="C1499" s="157">
        <v>15637.53</v>
      </c>
    </row>
    <row r="1500" spans="2:3">
      <c r="B1500" s="156">
        <v>44098</v>
      </c>
      <c r="C1500" s="157">
        <v>15291.25</v>
      </c>
    </row>
    <row r="1501" spans="2:3">
      <c r="B1501" s="156">
        <v>44097</v>
      </c>
      <c r="C1501" s="157">
        <v>15752.97</v>
      </c>
    </row>
    <row r="1502" spans="2:3">
      <c r="B1502" s="156">
        <v>44096</v>
      </c>
      <c r="C1502" s="157">
        <v>15783.87</v>
      </c>
    </row>
    <row r="1503" spans="2:3">
      <c r="B1503" s="156">
        <v>44095</v>
      </c>
      <c r="C1503" s="157">
        <v>15920.99</v>
      </c>
    </row>
    <row r="1504" spans="2:3">
      <c r="B1504" s="156">
        <v>44092</v>
      </c>
      <c r="C1504" s="157">
        <v>16281</v>
      </c>
    </row>
    <row r="1505" spans="2:3">
      <c r="B1505" s="156">
        <v>44091</v>
      </c>
      <c r="C1505" s="157">
        <v>16296.78</v>
      </c>
    </row>
    <row r="1506" spans="2:3">
      <c r="B1506" s="156">
        <v>44090</v>
      </c>
      <c r="C1506" s="157">
        <v>16421.95</v>
      </c>
    </row>
    <row r="1507" spans="2:3">
      <c r="B1507" s="156">
        <v>44089</v>
      </c>
      <c r="C1507" s="157">
        <v>16304.84</v>
      </c>
    </row>
    <row r="1508" spans="2:3">
      <c r="B1508" s="156">
        <v>44088</v>
      </c>
      <c r="C1508" s="157">
        <v>16189.14</v>
      </c>
    </row>
    <row r="1509" spans="2:3">
      <c r="B1509" s="156">
        <v>44085</v>
      </c>
      <c r="C1509" s="157">
        <v>16222.92</v>
      </c>
    </row>
    <row r="1510" spans="2:3">
      <c r="B1510" s="156">
        <v>44084</v>
      </c>
      <c r="C1510" s="157">
        <v>16201.44</v>
      </c>
    </row>
    <row r="1511" spans="2:3">
      <c r="B1511" s="156">
        <v>44083</v>
      </c>
      <c r="C1511" s="157">
        <v>15958.99</v>
      </c>
    </row>
    <row r="1512" spans="2:3">
      <c r="B1512" s="156">
        <v>44082</v>
      </c>
      <c r="C1512" s="157">
        <v>16014.67</v>
      </c>
    </row>
    <row r="1513" spans="2:3">
      <c r="B1513" s="156">
        <v>44081</v>
      </c>
      <c r="C1513" s="157">
        <v>16068.06</v>
      </c>
    </row>
    <row r="1514" spans="2:3">
      <c r="B1514" s="156">
        <v>44078</v>
      </c>
      <c r="C1514" s="157">
        <v>16038.07</v>
      </c>
    </row>
    <row r="1515" spans="2:3">
      <c r="B1515" s="156">
        <v>44077</v>
      </c>
      <c r="C1515" s="157">
        <v>16311.99</v>
      </c>
    </row>
    <row r="1516" spans="2:3">
      <c r="B1516" s="156">
        <v>44076</v>
      </c>
      <c r="C1516" s="157">
        <v>16322.17</v>
      </c>
    </row>
    <row r="1517" spans="2:3">
      <c r="B1517" s="156">
        <v>44075</v>
      </c>
      <c r="C1517" s="157">
        <v>16227.14</v>
      </c>
    </row>
    <row r="1518" spans="2:3">
      <c r="B1518" s="156">
        <v>44074</v>
      </c>
      <c r="C1518" s="157">
        <v>16110.07</v>
      </c>
    </row>
    <row r="1519" spans="2:3">
      <c r="B1519" s="156">
        <v>44071</v>
      </c>
      <c r="C1519" s="157">
        <v>16478.009999999998</v>
      </c>
    </row>
    <row r="1520" spans="2:3">
      <c r="B1520" s="156">
        <v>44070</v>
      </c>
      <c r="C1520" s="157">
        <v>16353.08</v>
      </c>
    </row>
    <row r="1521" spans="2:3">
      <c r="B1521" s="156">
        <v>44069</v>
      </c>
      <c r="C1521" s="157">
        <v>16339.41</v>
      </c>
    </row>
    <row r="1522" spans="2:3">
      <c r="B1522" s="156">
        <v>44068</v>
      </c>
      <c r="C1522" s="157">
        <v>16226.2</v>
      </c>
    </row>
    <row r="1523" spans="2:3">
      <c r="B1523" s="156">
        <v>44067</v>
      </c>
      <c r="C1523" s="157">
        <v>16218.02</v>
      </c>
    </row>
    <row r="1524" spans="2:3">
      <c r="B1524" s="156">
        <v>44064</v>
      </c>
      <c r="C1524" s="157">
        <v>16083.84</v>
      </c>
    </row>
    <row r="1525" spans="2:3">
      <c r="B1525" s="156">
        <v>44063</v>
      </c>
      <c r="C1525" s="157">
        <v>15999.86</v>
      </c>
    </row>
    <row r="1526" spans="2:3">
      <c r="B1526" s="156">
        <v>44062</v>
      </c>
      <c r="C1526" s="157">
        <v>16135.89</v>
      </c>
    </row>
    <row r="1527" spans="2:3">
      <c r="B1527" s="156">
        <v>44061</v>
      </c>
      <c r="C1527" s="157">
        <v>16101.86</v>
      </c>
    </row>
    <row r="1528" spans="2:3">
      <c r="B1528" s="156">
        <v>44060</v>
      </c>
      <c r="C1528" s="157">
        <v>15906.29</v>
      </c>
    </row>
    <row r="1529" spans="2:3">
      <c r="B1529" s="156">
        <v>44057</v>
      </c>
      <c r="C1529" s="157">
        <v>15809.17</v>
      </c>
    </row>
    <row r="1530" spans="2:3">
      <c r="B1530" s="156">
        <v>44056</v>
      </c>
      <c r="C1530" s="157">
        <v>15981.73</v>
      </c>
    </row>
    <row r="1531" spans="2:3">
      <c r="B1531" s="156">
        <v>44055</v>
      </c>
      <c r="C1531" s="157">
        <v>15986.03</v>
      </c>
    </row>
    <row r="1532" spans="2:3">
      <c r="B1532" s="156">
        <v>44054</v>
      </c>
      <c r="C1532" s="157">
        <v>16005.99</v>
      </c>
    </row>
    <row r="1533" spans="2:3">
      <c r="B1533" s="156">
        <v>44053</v>
      </c>
      <c r="C1533" s="157">
        <v>15931.97</v>
      </c>
    </row>
    <row r="1534" spans="2:3">
      <c r="B1534" s="156">
        <v>44050</v>
      </c>
      <c r="C1534" s="157">
        <v>15852.65</v>
      </c>
    </row>
    <row r="1535" spans="2:3">
      <c r="B1535" s="156">
        <v>44049</v>
      </c>
      <c r="C1535" s="157">
        <v>15833.02</v>
      </c>
    </row>
    <row r="1536" spans="2:3">
      <c r="B1536" s="156">
        <v>44048</v>
      </c>
      <c r="C1536" s="157">
        <v>15689.69</v>
      </c>
    </row>
    <row r="1537" spans="2:3">
      <c r="B1537" s="156">
        <v>44047</v>
      </c>
      <c r="C1537" s="157">
        <v>15676.74</v>
      </c>
    </row>
    <row r="1538" spans="2:3">
      <c r="B1538" s="156">
        <v>44046</v>
      </c>
      <c r="C1538" s="157">
        <v>15388.98</v>
      </c>
    </row>
    <row r="1539" spans="2:3">
      <c r="B1539" s="156">
        <v>44043</v>
      </c>
      <c r="C1539" s="157">
        <v>15645.34</v>
      </c>
    </row>
    <row r="1540" spans="2:3">
      <c r="B1540" s="156">
        <v>44042</v>
      </c>
      <c r="C1540" s="157">
        <v>15685.92</v>
      </c>
    </row>
    <row r="1541" spans="2:3">
      <c r="B1541" s="156">
        <v>44041</v>
      </c>
      <c r="C1541" s="157">
        <v>15824.19</v>
      </c>
    </row>
    <row r="1542" spans="2:3">
      <c r="B1542" s="156">
        <v>44040</v>
      </c>
      <c r="C1542" s="157">
        <v>15961.7</v>
      </c>
    </row>
    <row r="1543" spans="2:3">
      <c r="B1543" s="156">
        <v>44039</v>
      </c>
      <c r="C1543" s="157">
        <v>15723.39</v>
      </c>
    </row>
    <row r="1544" spans="2:3">
      <c r="B1544" s="156">
        <v>44036</v>
      </c>
      <c r="C1544" s="157">
        <v>15811.4</v>
      </c>
    </row>
    <row r="1545" spans="2:3">
      <c r="B1545" s="156">
        <v>44035</v>
      </c>
      <c r="C1545" s="157">
        <v>15841.48</v>
      </c>
    </row>
    <row r="1546" spans="2:3">
      <c r="B1546" s="156">
        <v>44034</v>
      </c>
      <c r="C1546" s="157">
        <v>15722.51</v>
      </c>
    </row>
    <row r="1547" spans="2:3">
      <c r="B1547" s="156">
        <v>44033</v>
      </c>
      <c r="C1547" s="157">
        <v>15764.41</v>
      </c>
    </row>
    <row r="1548" spans="2:3">
      <c r="B1548" s="156">
        <v>44032</v>
      </c>
      <c r="C1548" s="157">
        <v>15566.56</v>
      </c>
    </row>
    <row r="1549" spans="2:3">
      <c r="B1549" s="156">
        <v>44029</v>
      </c>
      <c r="C1549" s="157">
        <v>15396.44</v>
      </c>
    </row>
    <row r="1550" spans="2:3">
      <c r="B1550" s="156">
        <v>44028</v>
      </c>
      <c r="C1550" s="157">
        <v>15167.99</v>
      </c>
    </row>
    <row r="1551" spans="2:3">
      <c r="B1551" s="156">
        <v>44027</v>
      </c>
      <c r="C1551" s="157">
        <v>14993.52</v>
      </c>
    </row>
    <row r="1552" spans="2:3">
      <c r="B1552" s="156">
        <v>44026</v>
      </c>
      <c r="C1552" s="157">
        <v>14978.23</v>
      </c>
    </row>
    <row r="1553" spans="2:3">
      <c r="B1553" s="156">
        <v>44025</v>
      </c>
      <c r="C1553" s="157">
        <v>15254.09</v>
      </c>
    </row>
    <row r="1554" spans="2:3">
      <c r="B1554" s="156">
        <v>44022</v>
      </c>
      <c r="C1554" s="157">
        <v>15204.13</v>
      </c>
    </row>
    <row r="1555" spans="2:3">
      <c r="B1555" s="156">
        <v>44021</v>
      </c>
      <c r="C1555" s="157">
        <v>15268.19</v>
      </c>
    </row>
    <row r="1556" spans="2:3">
      <c r="B1556" s="156">
        <v>44020</v>
      </c>
      <c r="C1556" s="157">
        <v>15104.09</v>
      </c>
    </row>
    <row r="1557" spans="2:3">
      <c r="B1557" s="156">
        <v>44019</v>
      </c>
      <c r="C1557" s="157">
        <v>15236.58</v>
      </c>
    </row>
    <row r="1558" spans="2:3">
      <c r="B1558" s="156">
        <v>44018</v>
      </c>
      <c r="C1558" s="157">
        <v>15185.78</v>
      </c>
    </row>
    <row r="1559" spans="2:3">
      <c r="B1559" s="156">
        <v>44015</v>
      </c>
      <c r="C1559" s="157">
        <v>14964.59</v>
      </c>
    </row>
    <row r="1560" spans="2:3">
      <c r="B1560" s="156">
        <v>44014</v>
      </c>
      <c r="C1560" s="157">
        <v>14886.06</v>
      </c>
    </row>
    <row r="1561" spans="2:3">
      <c r="B1561" s="156">
        <v>44013</v>
      </c>
      <c r="C1561" s="157">
        <v>14707.64</v>
      </c>
    </row>
    <row r="1562" spans="2:3">
      <c r="B1562" s="156">
        <v>44012</v>
      </c>
      <c r="C1562" s="157">
        <v>14527.18</v>
      </c>
    </row>
    <row r="1563" spans="2:3">
      <c r="B1563" s="156">
        <v>44011</v>
      </c>
      <c r="C1563" s="157">
        <v>14541.76</v>
      </c>
    </row>
    <row r="1564" spans="2:3">
      <c r="B1564" s="156">
        <v>44008</v>
      </c>
      <c r="C1564" s="157">
        <v>14641.26</v>
      </c>
    </row>
    <row r="1565" spans="2:3">
      <c r="B1565" s="156">
        <v>44007</v>
      </c>
      <c r="C1565" s="157">
        <v>14508.61</v>
      </c>
    </row>
    <row r="1566" spans="2:3">
      <c r="B1566" s="156">
        <v>44006</v>
      </c>
      <c r="C1566" s="157">
        <v>14531.72</v>
      </c>
    </row>
    <row r="1567" spans="2:3">
      <c r="B1567" s="156">
        <v>44005</v>
      </c>
      <c r="C1567" s="157">
        <v>14765.36</v>
      </c>
    </row>
    <row r="1568" spans="2:3">
      <c r="B1568" s="156">
        <v>44004</v>
      </c>
      <c r="C1568" s="157">
        <v>14540.07</v>
      </c>
    </row>
    <row r="1569" spans="2:3">
      <c r="B1569" s="156">
        <v>44001</v>
      </c>
      <c r="C1569" s="157">
        <v>14445.87</v>
      </c>
    </row>
    <row r="1570" spans="2:3">
      <c r="B1570" s="156">
        <v>44000</v>
      </c>
      <c r="C1570" s="157">
        <v>14227.14</v>
      </c>
    </row>
    <row r="1571" spans="2:3">
      <c r="B1571" s="156">
        <v>43999</v>
      </c>
      <c r="C1571" s="157">
        <v>13930.35</v>
      </c>
    </row>
    <row r="1572" spans="2:3">
      <c r="B1572" s="156">
        <v>43998</v>
      </c>
      <c r="C1572" s="157">
        <v>13976.63</v>
      </c>
    </row>
    <row r="1573" spans="2:3">
      <c r="B1573" s="156">
        <v>43997</v>
      </c>
      <c r="C1573" s="157">
        <v>13835.27</v>
      </c>
    </row>
    <row r="1574" spans="2:3">
      <c r="B1574" s="156">
        <v>43994</v>
      </c>
      <c r="C1574" s="157">
        <v>14059.69</v>
      </c>
    </row>
    <row r="1575" spans="2:3">
      <c r="B1575" s="156">
        <v>43993</v>
      </c>
      <c r="C1575" s="157">
        <v>13959.73</v>
      </c>
    </row>
    <row r="1576" spans="2:3">
      <c r="B1576" s="156">
        <v>43992</v>
      </c>
      <c r="C1576" s="157">
        <v>14260.91</v>
      </c>
    </row>
    <row r="1577" spans="2:3">
      <c r="B1577" s="156">
        <v>43991</v>
      </c>
      <c r="C1577" s="157">
        <v>14162.9</v>
      </c>
    </row>
    <row r="1578" spans="2:3">
      <c r="B1578" s="156">
        <v>43990</v>
      </c>
      <c r="C1578" s="157">
        <v>14333.2</v>
      </c>
    </row>
    <row r="1579" spans="2:3">
      <c r="B1579" s="156">
        <v>43987</v>
      </c>
      <c r="C1579" s="157">
        <v>14297.55</v>
      </c>
    </row>
    <row r="1580" spans="2:3">
      <c r="B1580" s="156">
        <v>43986</v>
      </c>
      <c r="C1580" s="157">
        <v>14138.19</v>
      </c>
    </row>
    <row r="1581" spans="2:3">
      <c r="B1581" s="156">
        <v>43985</v>
      </c>
      <c r="C1581" s="157">
        <v>14183.95</v>
      </c>
    </row>
    <row r="1582" spans="2:3">
      <c r="B1582" s="156">
        <v>43984</v>
      </c>
      <c r="C1582" s="157">
        <v>14065.56</v>
      </c>
    </row>
    <row r="1583" spans="2:3">
      <c r="B1583" s="156">
        <v>43983</v>
      </c>
      <c r="C1583" s="157">
        <v>13850</v>
      </c>
    </row>
    <row r="1584" spans="2:3">
      <c r="B1584" s="156">
        <v>43980</v>
      </c>
      <c r="C1584" s="157">
        <v>13503.45</v>
      </c>
    </row>
    <row r="1585" spans="2:3">
      <c r="B1585" s="156">
        <v>43979</v>
      </c>
      <c r="C1585" s="157">
        <v>13364.65</v>
      </c>
    </row>
    <row r="1586" spans="2:3">
      <c r="B1586" s="156">
        <v>43978</v>
      </c>
      <c r="C1586" s="157">
        <v>13117.99</v>
      </c>
    </row>
    <row r="1587" spans="2:3">
      <c r="B1587" s="156">
        <v>43977</v>
      </c>
      <c r="C1587" s="157">
        <v>12715.39</v>
      </c>
    </row>
    <row r="1588" spans="2:3">
      <c r="B1588" s="156">
        <v>43973</v>
      </c>
      <c r="C1588" s="157">
        <v>12729.74</v>
      </c>
    </row>
    <row r="1589" spans="2:3">
      <c r="B1589" s="156">
        <v>43972</v>
      </c>
      <c r="C1589" s="157">
        <v>12824.12</v>
      </c>
    </row>
    <row r="1590" spans="2:3">
      <c r="B1590" s="156">
        <v>43971</v>
      </c>
      <c r="C1590" s="157">
        <v>12768.2</v>
      </c>
    </row>
    <row r="1591" spans="2:3">
      <c r="B1591" s="156">
        <v>43970</v>
      </c>
      <c r="C1591" s="157">
        <v>12504.22</v>
      </c>
    </row>
    <row r="1592" spans="2:3">
      <c r="B1592" s="156">
        <v>43969</v>
      </c>
      <c r="C1592" s="157">
        <v>12425.57</v>
      </c>
    </row>
    <row r="1593" spans="2:3">
      <c r="B1593" s="156">
        <v>43966</v>
      </c>
      <c r="C1593" s="157">
        <v>12867.16</v>
      </c>
    </row>
    <row r="1594" spans="2:3">
      <c r="B1594" s="156">
        <v>43965</v>
      </c>
      <c r="C1594" s="157">
        <v>12875.51</v>
      </c>
    </row>
    <row r="1595" spans="2:3">
      <c r="B1595" s="156">
        <v>43964</v>
      </c>
      <c r="C1595" s="157">
        <v>13214.58</v>
      </c>
    </row>
    <row r="1596" spans="2:3">
      <c r="B1596" s="156">
        <v>43963</v>
      </c>
      <c r="C1596" s="157">
        <v>12951.29</v>
      </c>
    </row>
    <row r="1597" spans="2:3">
      <c r="B1597" s="156">
        <v>43962</v>
      </c>
      <c r="C1597" s="157">
        <v>13011.35</v>
      </c>
    </row>
    <row r="1598" spans="2:3">
      <c r="B1598" s="156">
        <v>43959</v>
      </c>
      <c r="C1598" s="157">
        <v>13028.62</v>
      </c>
    </row>
    <row r="1599" spans="2:3">
      <c r="B1599" s="156">
        <v>43958</v>
      </c>
      <c r="C1599" s="157">
        <v>12954.81</v>
      </c>
    </row>
    <row r="1600" spans="2:3">
      <c r="B1600" s="156">
        <v>43957</v>
      </c>
      <c r="C1600" s="157">
        <v>13055.99</v>
      </c>
    </row>
    <row r="1601" spans="2:3">
      <c r="B1601" s="156">
        <v>43956</v>
      </c>
      <c r="C1601" s="157">
        <v>12963.99</v>
      </c>
    </row>
    <row r="1602" spans="2:3">
      <c r="B1602" s="156">
        <v>43955</v>
      </c>
      <c r="C1602" s="157">
        <v>13086.63</v>
      </c>
    </row>
    <row r="1603" spans="2:3">
      <c r="B1603" s="156">
        <v>43951</v>
      </c>
      <c r="C1603" s="157">
        <v>13884.18</v>
      </c>
    </row>
    <row r="1604" spans="2:3">
      <c r="B1604" s="156">
        <v>43950</v>
      </c>
      <c r="C1604" s="157">
        <v>13452.51</v>
      </c>
    </row>
    <row r="1605" spans="2:3">
      <c r="B1605" s="156">
        <v>43949</v>
      </c>
      <c r="C1605" s="157">
        <v>13208.29</v>
      </c>
    </row>
    <row r="1606" spans="2:3">
      <c r="B1606" s="156">
        <v>43948</v>
      </c>
      <c r="C1606" s="157">
        <v>13069.49</v>
      </c>
    </row>
    <row r="1607" spans="2:3">
      <c r="B1607" s="156">
        <v>43945</v>
      </c>
      <c r="C1607" s="157">
        <v>12889.39</v>
      </c>
    </row>
    <row r="1608" spans="2:3">
      <c r="B1608" s="156">
        <v>43944</v>
      </c>
      <c r="C1608" s="157">
        <v>13113.97</v>
      </c>
    </row>
    <row r="1609" spans="2:3">
      <c r="B1609" s="156">
        <v>43943</v>
      </c>
      <c r="C1609" s="157">
        <v>12935.73</v>
      </c>
    </row>
    <row r="1610" spans="2:3">
      <c r="B1610" s="156">
        <v>43942</v>
      </c>
      <c r="C1610" s="157">
        <v>12645.91</v>
      </c>
    </row>
    <row r="1611" spans="2:3">
      <c r="B1611" s="156">
        <v>43941</v>
      </c>
      <c r="C1611" s="157">
        <v>13040.65</v>
      </c>
    </row>
    <row r="1612" spans="2:3">
      <c r="B1612" s="156">
        <v>43938</v>
      </c>
      <c r="C1612" s="157">
        <v>13047.57</v>
      </c>
    </row>
    <row r="1613" spans="2:3">
      <c r="B1613" s="156">
        <v>43937</v>
      </c>
      <c r="C1613" s="157">
        <v>12661.83</v>
      </c>
    </row>
    <row r="1614" spans="2:3">
      <c r="B1614" s="156">
        <v>43936</v>
      </c>
      <c r="C1614" s="157">
        <v>12566.85</v>
      </c>
    </row>
    <row r="1615" spans="2:3">
      <c r="B1615" s="156">
        <v>43934</v>
      </c>
      <c r="C1615" s="157">
        <v>12663.31</v>
      </c>
    </row>
    <row r="1616" spans="2:3">
      <c r="B1616" s="156">
        <v>43930</v>
      </c>
      <c r="C1616" s="157">
        <v>12829.57</v>
      </c>
    </row>
    <row r="1617" spans="2:3">
      <c r="B1617" s="156">
        <v>43929</v>
      </c>
      <c r="C1617" s="157">
        <v>12318.25</v>
      </c>
    </row>
    <row r="1618" spans="2:3">
      <c r="B1618" s="156">
        <v>43928</v>
      </c>
      <c r="C1618" s="157">
        <v>12379.42</v>
      </c>
    </row>
    <row r="1619" spans="2:3">
      <c r="B1619" s="156">
        <v>43924</v>
      </c>
      <c r="C1619" s="157">
        <v>11382.02</v>
      </c>
    </row>
    <row r="1620" spans="2:3">
      <c r="B1620" s="156">
        <v>43922</v>
      </c>
      <c r="C1620" s="157">
        <v>11621.35</v>
      </c>
    </row>
    <row r="1621" spans="2:3">
      <c r="B1621" s="156">
        <v>43921</v>
      </c>
      <c r="C1621" s="157">
        <v>12105.66</v>
      </c>
    </row>
    <row r="1622" spans="2:3">
      <c r="B1622" s="156">
        <v>43920</v>
      </c>
      <c r="C1622" s="157">
        <v>11659.76</v>
      </c>
    </row>
    <row r="1623" spans="2:3">
      <c r="B1623" s="156">
        <v>43917</v>
      </c>
      <c r="C1623" s="157">
        <v>12193.62</v>
      </c>
    </row>
    <row r="1624" spans="2:3">
      <c r="B1624" s="156">
        <v>43916</v>
      </c>
      <c r="C1624" s="157">
        <v>12167.15</v>
      </c>
    </row>
    <row r="1625" spans="2:3">
      <c r="B1625" s="156">
        <v>43915</v>
      </c>
      <c r="C1625" s="157">
        <v>11710.71</v>
      </c>
    </row>
    <row r="1626" spans="2:3">
      <c r="B1626" s="156">
        <v>43914</v>
      </c>
      <c r="C1626" s="157">
        <v>10983.15</v>
      </c>
    </row>
    <row r="1627" spans="2:3">
      <c r="B1627" s="156">
        <v>43913</v>
      </c>
      <c r="C1627" s="157">
        <v>10710.41</v>
      </c>
    </row>
    <row r="1628" spans="2:3">
      <c r="B1628" s="156">
        <v>43910</v>
      </c>
      <c r="C1628" s="157">
        <v>12298.74</v>
      </c>
    </row>
    <row r="1629" spans="2:3">
      <c r="B1629" s="156">
        <v>43909</v>
      </c>
      <c r="C1629" s="157">
        <v>11620.92</v>
      </c>
    </row>
    <row r="1630" spans="2:3">
      <c r="B1630" s="156">
        <v>43908</v>
      </c>
      <c r="C1630" s="157">
        <v>11904.02</v>
      </c>
    </row>
    <row r="1631" spans="2:3">
      <c r="B1631" s="156">
        <v>43907</v>
      </c>
      <c r="C1631" s="157">
        <v>12604.41</v>
      </c>
    </row>
    <row r="1632" spans="2:3">
      <c r="B1632" s="156">
        <v>43906</v>
      </c>
      <c r="C1632" s="157">
        <v>12928.18</v>
      </c>
    </row>
    <row r="1633" spans="2:3">
      <c r="B1633" s="156">
        <v>43903</v>
      </c>
      <c r="C1633" s="157">
        <v>13987.31</v>
      </c>
    </row>
    <row r="1634" spans="2:3">
      <c r="B1634" s="156">
        <v>43902</v>
      </c>
      <c r="C1634" s="157">
        <v>13474.38</v>
      </c>
    </row>
    <row r="1635" spans="2:3">
      <c r="B1635" s="156">
        <v>43901</v>
      </c>
      <c r="C1635" s="157">
        <v>14694.31</v>
      </c>
    </row>
    <row r="1636" spans="2:3">
      <c r="B1636" s="156">
        <v>43899</v>
      </c>
      <c r="C1636" s="157">
        <v>14684.56</v>
      </c>
    </row>
    <row r="1637" spans="2:3">
      <c r="B1637" s="156">
        <v>43896</v>
      </c>
      <c r="C1637" s="157">
        <v>15440.48</v>
      </c>
    </row>
    <row r="1638" spans="2:3">
      <c r="B1638" s="156">
        <v>43895</v>
      </c>
      <c r="C1638" s="157">
        <v>15833.21</v>
      </c>
    </row>
    <row r="1639" spans="2:3">
      <c r="B1639" s="156">
        <v>43894</v>
      </c>
      <c r="C1639" s="157">
        <v>15805.53</v>
      </c>
    </row>
    <row r="1640" spans="2:3">
      <c r="B1640" s="156">
        <v>43893</v>
      </c>
      <c r="C1640" s="157">
        <v>15878.98</v>
      </c>
    </row>
    <row r="1641" spans="2:3">
      <c r="B1641" s="156">
        <v>43892</v>
      </c>
      <c r="C1641" s="157">
        <v>15632.14</v>
      </c>
    </row>
    <row r="1642" spans="2:3">
      <c r="B1642" s="156">
        <v>43889</v>
      </c>
      <c r="C1642" s="157">
        <v>15726.92</v>
      </c>
    </row>
    <row r="1643" spans="2:3">
      <c r="B1643" s="156">
        <v>43888</v>
      </c>
      <c r="C1643" s="157">
        <v>16332.81</v>
      </c>
    </row>
    <row r="1644" spans="2:3">
      <c r="B1644" s="156">
        <v>43887</v>
      </c>
      <c r="C1644" s="157">
        <v>16396.23</v>
      </c>
    </row>
    <row r="1645" spans="2:3">
      <c r="B1645" s="156">
        <v>43886</v>
      </c>
      <c r="C1645" s="157">
        <v>16563.91</v>
      </c>
    </row>
    <row r="1646" spans="2:3">
      <c r="B1646" s="156">
        <v>43885</v>
      </c>
      <c r="C1646" s="157">
        <v>16608.12</v>
      </c>
    </row>
    <row r="1647" spans="2:3">
      <c r="B1647" s="156">
        <v>43881</v>
      </c>
      <c r="C1647" s="157">
        <v>16961.16</v>
      </c>
    </row>
    <row r="1648" spans="2:3">
      <c r="B1648" s="156">
        <v>43880</v>
      </c>
      <c r="C1648" s="157">
        <v>17024.41</v>
      </c>
    </row>
    <row r="1649" spans="2:3">
      <c r="B1649" s="156">
        <v>43879</v>
      </c>
      <c r="C1649" s="157">
        <v>16837.080000000002</v>
      </c>
    </row>
    <row r="1650" spans="2:3">
      <c r="B1650" s="156">
        <v>43878</v>
      </c>
      <c r="C1650" s="157">
        <v>16911.919999999998</v>
      </c>
    </row>
    <row r="1651" spans="2:3">
      <c r="B1651" s="156">
        <v>43875</v>
      </c>
      <c r="C1651" s="157">
        <v>17002.89</v>
      </c>
    </row>
    <row r="1652" spans="2:3">
      <c r="B1652" s="156">
        <v>43874</v>
      </c>
      <c r="C1652" s="157">
        <v>17088.84</v>
      </c>
    </row>
    <row r="1653" spans="2:3">
      <c r="B1653" s="156">
        <v>43873</v>
      </c>
      <c r="C1653" s="157">
        <v>17126.07</v>
      </c>
    </row>
    <row r="1654" spans="2:3">
      <c r="B1654" s="156">
        <v>43872</v>
      </c>
      <c r="C1654" s="157">
        <v>16995.099999999999</v>
      </c>
    </row>
    <row r="1655" spans="2:3">
      <c r="B1655" s="156">
        <v>43871</v>
      </c>
      <c r="C1655" s="157">
        <v>16887.86</v>
      </c>
    </row>
    <row r="1656" spans="2:3">
      <c r="B1656" s="156">
        <v>43868</v>
      </c>
      <c r="C1656" s="157">
        <v>16981.75</v>
      </c>
    </row>
    <row r="1657" spans="2:3">
      <c r="B1657" s="156">
        <v>43867</v>
      </c>
      <c r="C1657" s="157">
        <v>17037.28</v>
      </c>
    </row>
    <row r="1658" spans="2:3">
      <c r="B1658" s="156">
        <v>43866</v>
      </c>
      <c r="C1658" s="157">
        <v>16968.830000000002</v>
      </c>
    </row>
    <row r="1659" spans="2:3">
      <c r="B1659" s="156">
        <v>43865</v>
      </c>
      <c r="C1659" s="157">
        <v>16815.12</v>
      </c>
    </row>
    <row r="1660" spans="2:3">
      <c r="B1660" s="156">
        <v>43864</v>
      </c>
      <c r="C1660" s="157">
        <v>16433.650000000001</v>
      </c>
    </row>
    <row r="1661" spans="2:3">
      <c r="B1661" s="156">
        <v>43862</v>
      </c>
      <c r="C1661" s="157">
        <v>16369</v>
      </c>
    </row>
    <row r="1662" spans="2:3">
      <c r="B1662" s="156">
        <v>43861</v>
      </c>
      <c r="C1662" s="157">
        <v>16790.45</v>
      </c>
    </row>
    <row r="1663" spans="2:3">
      <c r="B1663" s="156">
        <v>43860</v>
      </c>
      <c r="C1663" s="157">
        <v>16893.91</v>
      </c>
    </row>
    <row r="1664" spans="2:3">
      <c r="B1664" s="156">
        <v>43859</v>
      </c>
      <c r="C1664" s="157">
        <v>17025.46</v>
      </c>
    </row>
    <row r="1665" spans="2:3">
      <c r="B1665" s="156">
        <v>43858</v>
      </c>
      <c r="C1665" s="157">
        <v>16922.009999999998</v>
      </c>
    </row>
    <row r="1666" spans="2:3">
      <c r="B1666" s="156">
        <v>43857</v>
      </c>
      <c r="C1666" s="157">
        <v>17010.7</v>
      </c>
    </row>
    <row r="1667" spans="2:3">
      <c r="B1667" s="156">
        <v>43854</v>
      </c>
      <c r="C1667" s="157">
        <v>17192.150000000001</v>
      </c>
    </row>
    <row r="1668" spans="2:3">
      <c r="B1668" s="156">
        <v>43853</v>
      </c>
      <c r="C1668" s="157">
        <v>17095.61</v>
      </c>
    </row>
    <row r="1669" spans="2:3">
      <c r="B1669" s="156">
        <v>43852</v>
      </c>
      <c r="C1669" s="157">
        <v>16990.68</v>
      </c>
    </row>
    <row r="1670" spans="2:3">
      <c r="B1670" s="156">
        <v>43851</v>
      </c>
      <c r="C1670" s="157">
        <v>17079.07</v>
      </c>
    </row>
    <row r="1671" spans="2:3">
      <c r="B1671" s="156">
        <v>43850</v>
      </c>
      <c r="C1671" s="157">
        <v>17155.830000000002</v>
      </c>
    </row>
    <row r="1672" spans="2:3">
      <c r="B1672" s="156">
        <v>43847</v>
      </c>
      <c r="C1672" s="157">
        <v>17335.2</v>
      </c>
    </row>
    <row r="1673" spans="2:3">
      <c r="B1673" s="156">
        <v>43846</v>
      </c>
      <c r="C1673" s="157">
        <v>17339.57</v>
      </c>
    </row>
    <row r="1674" spans="2:3">
      <c r="B1674" s="156">
        <v>43845</v>
      </c>
      <c r="C1674" s="157">
        <v>17322.5</v>
      </c>
    </row>
    <row r="1675" spans="2:3">
      <c r="B1675" s="156">
        <v>43844</v>
      </c>
      <c r="C1675" s="157">
        <v>17349.12</v>
      </c>
    </row>
    <row r="1676" spans="2:3">
      <c r="B1676" s="156">
        <v>43843</v>
      </c>
      <c r="C1676" s="157">
        <v>17303.2</v>
      </c>
    </row>
    <row r="1677" spans="2:3">
      <c r="B1677" s="156">
        <v>43840</v>
      </c>
      <c r="C1677" s="157">
        <v>17201.080000000002</v>
      </c>
    </row>
    <row r="1678" spans="2:3">
      <c r="B1678" s="156">
        <v>43839</v>
      </c>
      <c r="C1678" s="157">
        <v>17143.650000000001</v>
      </c>
    </row>
    <row r="1679" spans="2:3">
      <c r="B1679" s="156">
        <v>43838</v>
      </c>
      <c r="C1679" s="157">
        <v>16876.240000000002</v>
      </c>
    </row>
    <row r="1680" spans="2:3">
      <c r="B1680" s="156">
        <v>43837</v>
      </c>
      <c r="C1680" s="157">
        <v>16915.03</v>
      </c>
    </row>
    <row r="1681" spans="2:3">
      <c r="B1681" s="156">
        <v>43836</v>
      </c>
      <c r="C1681" s="157">
        <v>16830.93</v>
      </c>
    </row>
    <row r="1682" spans="2:3">
      <c r="B1682" s="156">
        <v>43833</v>
      </c>
      <c r="C1682" s="157">
        <v>17158.75</v>
      </c>
    </row>
    <row r="1683" spans="2:3">
      <c r="B1683" s="156">
        <v>43832</v>
      </c>
      <c r="C1683" s="157">
        <v>17236.7</v>
      </c>
    </row>
    <row r="1684" spans="2:3">
      <c r="B1684" s="156">
        <v>43831</v>
      </c>
      <c r="C1684" s="157">
        <v>17096.830000000002</v>
      </c>
    </row>
    <row r="1685" spans="2:3">
      <c r="B1685" s="156">
        <v>43830</v>
      </c>
      <c r="C1685" s="157">
        <v>17077.060000000001</v>
      </c>
    </row>
    <row r="1686" spans="2:3">
      <c r="B1686" s="156">
        <v>43829</v>
      </c>
      <c r="C1686" s="157">
        <v>17199.73</v>
      </c>
    </row>
    <row r="1687" spans="2:3">
      <c r="B1687" s="156">
        <v>43826</v>
      </c>
      <c r="C1687" s="157">
        <v>17185.66</v>
      </c>
    </row>
    <row r="1688" spans="2:3">
      <c r="B1688" s="156">
        <v>43825</v>
      </c>
      <c r="C1688" s="157">
        <v>17018.259999999998</v>
      </c>
    </row>
    <row r="1689" spans="2:3">
      <c r="B1689" s="156">
        <v>43823</v>
      </c>
      <c r="C1689" s="157">
        <v>17141.8</v>
      </c>
    </row>
    <row r="1690" spans="2:3">
      <c r="B1690" s="156">
        <v>43822</v>
      </c>
      <c r="C1690" s="157">
        <v>17209.400000000001</v>
      </c>
    </row>
    <row r="1691" spans="2:3">
      <c r="B1691" s="156">
        <v>43819</v>
      </c>
      <c r="C1691" s="157">
        <v>17222.14</v>
      </c>
    </row>
    <row r="1692" spans="2:3">
      <c r="B1692" s="156">
        <v>43818</v>
      </c>
      <c r="C1692" s="157">
        <v>17205.12</v>
      </c>
    </row>
    <row r="1693" spans="2:3">
      <c r="B1693" s="156">
        <v>43817</v>
      </c>
      <c r="C1693" s="157">
        <v>17150.93</v>
      </c>
    </row>
    <row r="1694" spans="2:3">
      <c r="B1694" s="156">
        <v>43816</v>
      </c>
      <c r="C1694" s="157">
        <v>17071.490000000002</v>
      </c>
    </row>
    <row r="1695" spans="2:3">
      <c r="B1695" s="156">
        <v>43815</v>
      </c>
      <c r="C1695" s="157">
        <v>16915.650000000001</v>
      </c>
    </row>
    <row r="1696" spans="2:3">
      <c r="B1696" s="156">
        <v>43812</v>
      </c>
      <c r="C1696" s="157">
        <v>16961.560000000001</v>
      </c>
    </row>
    <row r="1697" spans="2:3">
      <c r="B1697" s="156">
        <v>43811</v>
      </c>
      <c r="C1697" s="157">
        <v>16800.36</v>
      </c>
    </row>
    <row r="1698" spans="2:3">
      <c r="B1698" s="156">
        <v>43810</v>
      </c>
      <c r="C1698" s="157">
        <v>16713.79</v>
      </c>
    </row>
    <row r="1699" spans="2:3">
      <c r="B1699" s="156">
        <v>43809</v>
      </c>
      <c r="C1699" s="157">
        <v>16638.939999999999</v>
      </c>
    </row>
    <row r="1700" spans="2:3">
      <c r="B1700" s="156">
        <v>43808</v>
      </c>
      <c r="C1700" s="157">
        <v>16751.53</v>
      </c>
    </row>
    <row r="1701" spans="2:3">
      <c r="B1701" s="156">
        <v>43805</v>
      </c>
      <c r="C1701" s="157">
        <v>16729.080000000002</v>
      </c>
    </row>
    <row r="1702" spans="2:3">
      <c r="B1702" s="156">
        <v>43804</v>
      </c>
      <c r="C1702" s="157">
        <v>16865.04</v>
      </c>
    </row>
    <row r="1703" spans="2:3">
      <c r="B1703" s="156">
        <v>43803</v>
      </c>
      <c r="C1703" s="157">
        <v>16899.88</v>
      </c>
    </row>
    <row r="1704" spans="2:3">
      <c r="B1704" s="156">
        <v>43802</v>
      </c>
      <c r="C1704" s="157">
        <v>16831.11</v>
      </c>
    </row>
    <row r="1705" spans="2:3">
      <c r="B1705" s="156">
        <v>43801</v>
      </c>
      <c r="C1705" s="157">
        <v>16906.88</v>
      </c>
    </row>
    <row r="1706" spans="2:3">
      <c r="B1706" s="156">
        <v>43798</v>
      </c>
      <c r="C1706" s="157">
        <v>16917.89</v>
      </c>
    </row>
    <row r="1707" spans="2:3">
      <c r="B1707" s="156">
        <v>43797</v>
      </c>
      <c r="C1707" s="157">
        <v>17051.310000000001</v>
      </c>
    </row>
    <row r="1708" spans="2:3">
      <c r="B1708" s="156">
        <v>43796</v>
      </c>
      <c r="C1708" s="157">
        <v>16980.54</v>
      </c>
    </row>
    <row r="1709" spans="2:3">
      <c r="B1709" s="156">
        <v>43795</v>
      </c>
      <c r="C1709" s="157">
        <v>16892.150000000001</v>
      </c>
    </row>
    <row r="1710" spans="2:3">
      <c r="B1710" s="156">
        <v>43794</v>
      </c>
      <c r="C1710" s="157">
        <v>16942.7</v>
      </c>
    </row>
    <row r="1711" spans="2:3">
      <c r="B1711" s="156">
        <v>43791</v>
      </c>
      <c r="C1711" s="157">
        <v>16719.11</v>
      </c>
    </row>
    <row r="1712" spans="2:3">
      <c r="B1712" s="156">
        <v>43790</v>
      </c>
      <c r="C1712" s="157">
        <v>16794.86</v>
      </c>
    </row>
    <row r="1713" spans="2:3">
      <c r="B1713" s="156">
        <v>43789</v>
      </c>
      <c r="C1713" s="157">
        <v>16837.96</v>
      </c>
    </row>
    <row r="1714" spans="2:3">
      <c r="B1714" s="156">
        <v>43788</v>
      </c>
      <c r="C1714" s="157">
        <v>16755.150000000001</v>
      </c>
    </row>
    <row r="1715" spans="2:3">
      <c r="B1715" s="156">
        <v>43787</v>
      </c>
      <c r="C1715" s="157">
        <v>16677.14</v>
      </c>
    </row>
    <row r="1716" spans="2:3">
      <c r="B1716" s="156">
        <v>43784</v>
      </c>
      <c r="C1716" s="157">
        <v>16692.52</v>
      </c>
    </row>
    <row r="1717" spans="2:3">
      <c r="B1717" s="156">
        <v>43783</v>
      </c>
      <c r="C1717" s="157">
        <v>16659.78</v>
      </c>
    </row>
    <row r="1718" spans="2:3">
      <c r="B1718" s="156">
        <v>43782</v>
      </c>
      <c r="C1718" s="157">
        <v>16615.37</v>
      </c>
    </row>
    <row r="1719" spans="2:3">
      <c r="B1719" s="156">
        <v>43780</v>
      </c>
      <c r="C1719" s="157">
        <v>16717.75</v>
      </c>
    </row>
    <row r="1720" spans="2:3">
      <c r="B1720" s="156">
        <v>43777</v>
      </c>
      <c r="C1720" s="157">
        <v>16710.37</v>
      </c>
    </row>
    <row r="1721" spans="2:3">
      <c r="B1721" s="156">
        <v>43776</v>
      </c>
      <c r="C1721" s="157">
        <v>16856.169999999998</v>
      </c>
    </row>
    <row r="1722" spans="2:3">
      <c r="B1722" s="156">
        <v>43775</v>
      </c>
      <c r="C1722" s="157">
        <v>16791.61</v>
      </c>
    </row>
    <row r="1723" spans="2:3">
      <c r="B1723" s="156">
        <v>43774</v>
      </c>
      <c r="C1723" s="157">
        <v>16723.060000000001</v>
      </c>
    </row>
    <row r="1724" spans="2:3">
      <c r="B1724" s="156">
        <v>43773</v>
      </c>
      <c r="C1724" s="157">
        <v>16756.87</v>
      </c>
    </row>
    <row r="1725" spans="2:3">
      <c r="B1725" s="156">
        <v>43770</v>
      </c>
      <c r="C1725" s="157">
        <v>16685.73</v>
      </c>
    </row>
    <row r="1726" spans="2:3">
      <c r="B1726" s="156">
        <v>43769</v>
      </c>
      <c r="C1726" s="157">
        <v>16667.29</v>
      </c>
    </row>
    <row r="1727" spans="2:3">
      <c r="B1727" s="156">
        <v>43768</v>
      </c>
      <c r="C1727" s="157">
        <v>16620.07</v>
      </c>
    </row>
    <row r="1728" spans="2:3">
      <c r="B1728" s="156">
        <v>43767</v>
      </c>
      <c r="C1728" s="157">
        <v>16539.23</v>
      </c>
    </row>
    <row r="1729" spans="2:3">
      <c r="B1729" s="156">
        <v>43765</v>
      </c>
      <c r="C1729" s="157">
        <v>16315.17</v>
      </c>
    </row>
    <row r="1730" spans="2:3">
      <c r="B1730" s="156">
        <v>43763</v>
      </c>
      <c r="C1730" s="157">
        <v>16254.45</v>
      </c>
    </row>
    <row r="1731" spans="2:3">
      <c r="B1731" s="156">
        <v>43762</v>
      </c>
      <c r="C1731" s="157">
        <v>16252.63</v>
      </c>
    </row>
    <row r="1732" spans="2:3">
      <c r="B1732" s="156">
        <v>43761</v>
      </c>
      <c r="C1732" s="157">
        <v>16282.84</v>
      </c>
    </row>
    <row r="1733" spans="2:3">
      <c r="B1733" s="156">
        <v>43760</v>
      </c>
      <c r="C1733" s="157">
        <v>16248.11</v>
      </c>
    </row>
    <row r="1734" spans="2:3">
      <c r="B1734" s="156">
        <v>43756</v>
      </c>
      <c r="C1734" s="157">
        <v>16351.16</v>
      </c>
    </row>
    <row r="1735" spans="2:3">
      <c r="B1735" s="156">
        <v>43755</v>
      </c>
      <c r="C1735" s="157">
        <v>16245.31</v>
      </c>
    </row>
    <row r="1736" spans="2:3">
      <c r="B1736" s="156">
        <v>43754</v>
      </c>
      <c r="C1736" s="157">
        <v>16057.85</v>
      </c>
    </row>
    <row r="1737" spans="2:3">
      <c r="B1737" s="156">
        <v>43753</v>
      </c>
      <c r="C1737" s="157">
        <v>16007.83</v>
      </c>
    </row>
    <row r="1738" spans="2:3">
      <c r="B1738" s="156">
        <v>43752</v>
      </c>
      <c r="C1738" s="157">
        <v>15885.74</v>
      </c>
    </row>
    <row r="1739" spans="2:3">
      <c r="B1739" s="156">
        <v>43749</v>
      </c>
      <c r="C1739" s="157">
        <v>15835.17</v>
      </c>
    </row>
    <row r="1740" spans="2:3">
      <c r="B1740" s="156">
        <v>43748</v>
      </c>
      <c r="C1740" s="157">
        <v>15736.44</v>
      </c>
    </row>
    <row r="1741" spans="2:3">
      <c r="B1741" s="156">
        <v>43747</v>
      </c>
      <c r="C1741" s="157">
        <v>15846.77</v>
      </c>
    </row>
    <row r="1742" spans="2:3">
      <c r="B1742" s="156">
        <v>43745</v>
      </c>
      <c r="C1742" s="157">
        <v>15584.94</v>
      </c>
    </row>
    <row r="1743" spans="2:3">
      <c r="B1743" s="156">
        <v>43742</v>
      </c>
      <c r="C1743" s="157">
        <v>15652.7</v>
      </c>
    </row>
    <row r="1744" spans="2:3">
      <c r="B1744" s="156">
        <v>43741</v>
      </c>
      <c r="C1744" s="157">
        <v>15847.7</v>
      </c>
    </row>
    <row r="1745" spans="2:3">
      <c r="B1745" s="156">
        <v>43739</v>
      </c>
      <c r="C1745" s="157">
        <v>15912.03</v>
      </c>
    </row>
    <row r="1746" spans="2:3">
      <c r="B1746" s="156">
        <v>43738</v>
      </c>
      <c r="C1746" s="157">
        <v>16072.5</v>
      </c>
    </row>
    <row r="1747" spans="2:3">
      <c r="B1747" s="156">
        <v>43735</v>
      </c>
      <c r="C1747" s="157">
        <v>16125.65</v>
      </c>
    </row>
    <row r="1748" spans="2:3">
      <c r="B1748" s="156">
        <v>43734</v>
      </c>
      <c r="C1748" s="157">
        <v>16207.96</v>
      </c>
    </row>
    <row r="1749" spans="2:3">
      <c r="B1749" s="156">
        <v>43733</v>
      </c>
      <c r="C1749" s="157">
        <v>16024.49</v>
      </c>
    </row>
    <row r="1750" spans="2:3">
      <c r="B1750" s="156">
        <v>43732</v>
      </c>
      <c r="C1750" s="157">
        <v>16231.83</v>
      </c>
    </row>
    <row r="1751" spans="2:3">
      <c r="B1751" s="156">
        <v>43731</v>
      </c>
      <c r="C1751" s="157">
        <v>16248.62</v>
      </c>
    </row>
    <row r="1752" spans="2:3">
      <c r="B1752" s="156">
        <v>43728</v>
      </c>
      <c r="C1752" s="157">
        <v>15791.99</v>
      </c>
    </row>
    <row r="1753" spans="2:3">
      <c r="B1753" s="156">
        <v>43727</v>
      </c>
      <c r="C1753" s="157">
        <v>14994.39</v>
      </c>
    </row>
    <row r="1754" spans="2:3">
      <c r="B1754" s="156">
        <v>43726</v>
      </c>
      <c r="C1754" s="157">
        <v>15184.69</v>
      </c>
    </row>
    <row r="1755" spans="2:3">
      <c r="B1755" s="156">
        <v>43725</v>
      </c>
      <c r="C1755" s="157">
        <v>15152.39</v>
      </c>
    </row>
    <row r="1756" spans="2:3">
      <c r="B1756" s="156">
        <v>43724</v>
      </c>
      <c r="C1756" s="157">
        <v>15412.83</v>
      </c>
    </row>
    <row r="1757" spans="2:3">
      <c r="B1757" s="156">
        <v>43721</v>
      </c>
      <c r="C1757" s="157">
        <v>15514.2</v>
      </c>
    </row>
    <row r="1758" spans="2:3">
      <c r="B1758" s="156">
        <v>43720</v>
      </c>
      <c r="C1758" s="157">
        <v>15383.82</v>
      </c>
    </row>
    <row r="1759" spans="2:3">
      <c r="B1759" s="156">
        <v>43719</v>
      </c>
      <c r="C1759" s="157">
        <v>15457.9</v>
      </c>
    </row>
    <row r="1760" spans="2:3">
      <c r="B1760" s="156">
        <v>43717</v>
      </c>
      <c r="C1760" s="157">
        <v>15412.14</v>
      </c>
    </row>
    <row r="1761" spans="2:3">
      <c r="B1761" s="156">
        <v>43714</v>
      </c>
      <c r="C1761" s="157">
        <v>15332.57</v>
      </c>
    </row>
    <row r="1762" spans="2:3">
      <c r="B1762" s="156">
        <v>43713</v>
      </c>
      <c r="C1762" s="157">
        <v>15194.86</v>
      </c>
    </row>
    <row r="1763" spans="2:3">
      <c r="B1763" s="156">
        <v>43712</v>
      </c>
      <c r="C1763" s="157">
        <v>15190.3</v>
      </c>
    </row>
    <row r="1764" spans="2:3">
      <c r="B1764" s="156">
        <v>43711</v>
      </c>
      <c r="C1764" s="157">
        <v>15124.8</v>
      </c>
    </row>
    <row r="1765" spans="2:3">
      <c r="B1765" s="156">
        <v>43707</v>
      </c>
      <c r="C1765" s="157">
        <v>15440.47</v>
      </c>
    </row>
    <row r="1766" spans="2:3">
      <c r="B1766" s="156">
        <v>43706</v>
      </c>
      <c r="C1766" s="157">
        <v>15335.45</v>
      </c>
    </row>
    <row r="1767" spans="2:3">
      <c r="B1767" s="156">
        <v>43705</v>
      </c>
      <c r="C1767" s="157">
        <v>15472.44</v>
      </c>
    </row>
    <row r="1768" spans="2:3">
      <c r="B1768" s="156">
        <v>43704</v>
      </c>
      <c r="C1768" s="157">
        <v>15555.44</v>
      </c>
    </row>
    <row r="1769" spans="2:3">
      <c r="B1769" s="156">
        <v>43703</v>
      </c>
      <c r="C1769" s="157">
        <v>15488.96</v>
      </c>
    </row>
    <row r="1770" spans="2:3">
      <c r="B1770" s="156">
        <v>43700</v>
      </c>
      <c r="C1770" s="157">
        <v>15168.88</v>
      </c>
    </row>
    <row r="1771" spans="2:3">
      <c r="B1771" s="156">
        <v>43699</v>
      </c>
      <c r="C1771" s="157">
        <v>15045.62</v>
      </c>
    </row>
    <row r="1772" spans="2:3">
      <c r="B1772" s="156">
        <v>43698</v>
      </c>
      <c r="C1772" s="157">
        <v>15290.85</v>
      </c>
    </row>
    <row r="1773" spans="2:3">
      <c r="B1773" s="156">
        <v>43697</v>
      </c>
      <c r="C1773" s="157">
        <v>15425.45</v>
      </c>
    </row>
    <row r="1774" spans="2:3">
      <c r="B1774" s="156">
        <v>43696</v>
      </c>
      <c r="C1774" s="157">
        <v>15476.07</v>
      </c>
    </row>
    <row r="1775" spans="2:3">
      <c r="B1775" s="156">
        <v>43693</v>
      </c>
      <c r="C1775" s="157">
        <v>15464.58</v>
      </c>
    </row>
    <row r="1776" spans="2:3">
      <c r="B1776" s="156">
        <v>43691</v>
      </c>
      <c r="C1776" s="157">
        <v>15438.86</v>
      </c>
    </row>
    <row r="1777" spans="2:3">
      <c r="B1777" s="156">
        <v>43690</v>
      </c>
      <c r="C1777" s="157">
        <v>15289.35</v>
      </c>
    </row>
    <row r="1778" spans="2:3">
      <c r="B1778" s="156">
        <v>43686</v>
      </c>
      <c r="C1778" s="157">
        <v>15542.72</v>
      </c>
    </row>
    <row r="1779" spans="2:3">
      <c r="B1779" s="156">
        <v>43685</v>
      </c>
      <c r="C1779" s="157">
        <v>15434.73</v>
      </c>
    </row>
    <row r="1780" spans="2:3">
      <c r="B1780" s="156">
        <v>43684</v>
      </c>
      <c r="C1780" s="157">
        <v>15184.34</v>
      </c>
    </row>
    <row r="1781" spans="2:3">
      <c r="B1781" s="156">
        <v>43683</v>
      </c>
      <c r="C1781" s="157">
        <v>15314.03</v>
      </c>
    </row>
    <row r="1782" spans="2:3">
      <c r="B1782" s="156">
        <v>43682</v>
      </c>
      <c r="C1782" s="157">
        <v>15194.27</v>
      </c>
    </row>
    <row r="1783" spans="2:3">
      <c r="B1783" s="156">
        <v>43679</v>
      </c>
      <c r="C1783" s="157">
        <v>15382.73</v>
      </c>
    </row>
    <row r="1784" spans="2:3">
      <c r="B1784" s="156">
        <v>43678</v>
      </c>
      <c r="C1784" s="157">
        <v>15350.83</v>
      </c>
    </row>
    <row r="1785" spans="2:3">
      <c r="B1785" s="156">
        <v>43677</v>
      </c>
      <c r="C1785" s="157">
        <v>15539.43</v>
      </c>
    </row>
    <row r="1786" spans="2:3">
      <c r="B1786" s="156">
        <v>43676</v>
      </c>
      <c r="C1786" s="157">
        <v>15493.33</v>
      </c>
    </row>
    <row r="1787" spans="2:3">
      <c r="B1787" s="156">
        <v>43675</v>
      </c>
      <c r="C1787" s="157">
        <v>15638.42</v>
      </c>
    </row>
    <row r="1788" spans="2:3">
      <c r="B1788" s="156">
        <v>43672</v>
      </c>
      <c r="C1788" s="157">
        <v>15770.63</v>
      </c>
    </row>
    <row r="1789" spans="2:3">
      <c r="B1789" s="156">
        <v>43671</v>
      </c>
      <c r="C1789" s="157">
        <v>15725.6</v>
      </c>
    </row>
    <row r="1790" spans="2:3">
      <c r="B1790" s="156">
        <v>43670</v>
      </c>
      <c r="C1790" s="157">
        <v>15749.37</v>
      </c>
    </row>
    <row r="1791" spans="2:3">
      <c r="B1791" s="156">
        <v>43669</v>
      </c>
      <c r="C1791" s="157">
        <v>15824.55</v>
      </c>
    </row>
    <row r="1792" spans="2:3">
      <c r="B1792" s="156">
        <v>43668</v>
      </c>
      <c r="C1792" s="157">
        <v>15845.74</v>
      </c>
    </row>
    <row r="1793" spans="2:3">
      <c r="B1793" s="156">
        <v>43665</v>
      </c>
      <c r="C1793" s="157">
        <v>15945.55</v>
      </c>
    </row>
    <row r="1794" spans="2:3">
      <c r="B1794" s="156">
        <v>43664</v>
      </c>
      <c r="C1794" s="157">
        <v>16183.16</v>
      </c>
    </row>
    <row r="1795" spans="2:3">
      <c r="B1795" s="156">
        <v>43663</v>
      </c>
      <c r="C1795" s="157">
        <v>16306.82</v>
      </c>
    </row>
    <row r="1796" spans="2:3">
      <c r="B1796" s="156">
        <v>43662</v>
      </c>
      <c r="C1796" s="157">
        <v>16272.08</v>
      </c>
    </row>
    <row r="1797" spans="2:3">
      <c r="B1797" s="156">
        <v>43661</v>
      </c>
      <c r="C1797" s="157">
        <v>16165.28</v>
      </c>
    </row>
    <row r="1798" spans="2:3">
      <c r="B1798" s="156">
        <v>43658</v>
      </c>
      <c r="C1798" s="157">
        <v>16113.75</v>
      </c>
    </row>
    <row r="1799" spans="2:3">
      <c r="B1799" s="156">
        <v>43657</v>
      </c>
      <c r="C1799" s="157">
        <v>16155.78</v>
      </c>
    </row>
    <row r="1800" spans="2:3">
      <c r="B1800" s="156">
        <v>43656</v>
      </c>
      <c r="C1800" s="157">
        <v>16035.44</v>
      </c>
    </row>
    <row r="1801" spans="2:3">
      <c r="B1801" s="156">
        <v>43655</v>
      </c>
      <c r="C1801" s="157">
        <v>16114.46</v>
      </c>
    </row>
    <row r="1802" spans="2:3">
      <c r="B1802" s="156">
        <v>43654</v>
      </c>
      <c r="C1802" s="157">
        <v>16118.27</v>
      </c>
    </row>
    <row r="1803" spans="2:3">
      <c r="B1803" s="156">
        <v>43651</v>
      </c>
      <c r="C1803" s="157">
        <v>16468.990000000002</v>
      </c>
    </row>
    <row r="1804" spans="2:3">
      <c r="B1804" s="156">
        <v>43650</v>
      </c>
      <c r="C1804" s="157">
        <v>16658.04</v>
      </c>
    </row>
    <row r="1805" spans="2:3">
      <c r="B1805" s="156">
        <v>43649</v>
      </c>
      <c r="C1805" s="157">
        <v>16612.16</v>
      </c>
    </row>
    <row r="1806" spans="2:3">
      <c r="B1806" s="156">
        <v>43648</v>
      </c>
      <c r="C1806" s="157">
        <v>16603.169999999998</v>
      </c>
    </row>
    <row r="1807" spans="2:3">
      <c r="B1807" s="156">
        <v>43647</v>
      </c>
      <c r="C1807" s="157">
        <v>16540.88</v>
      </c>
    </row>
    <row r="1808" spans="2:3">
      <c r="B1808" s="156">
        <v>43644</v>
      </c>
      <c r="C1808" s="157">
        <v>16433.849999999999</v>
      </c>
    </row>
    <row r="1809" spans="2:3">
      <c r="B1809" s="156">
        <v>43643</v>
      </c>
      <c r="C1809" s="157">
        <v>16507.34</v>
      </c>
    </row>
    <row r="1810" spans="2:3">
      <c r="B1810" s="156">
        <v>43642</v>
      </c>
      <c r="C1810" s="157">
        <v>16515.68</v>
      </c>
    </row>
    <row r="1811" spans="2:3">
      <c r="B1811" s="156">
        <v>43641</v>
      </c>
      <c r="C1811" s="157">
        <v>16444.46</v>
      </c>
    </row>
    <row r="1812" spans="2:3">
      <c r="B1812" s="156">
        <v>43640</v>
      </c>
      <c r="C1812" s="157">
        <v>16309.52</v>
      </c>
    </row>
    <row r="1813" spans="2:3">
      <c r="B1813" s="156">
        <v>43637</v>
      </c>
      <c r="C1813" s="157">
        <v>16343.59</v>
      </c>
    </row>
    <row r="1814" spans="2:3">
      <c r="B1814" s="156">
        <v>43636</v>
      </c>
      <c r="C1814" s="157">
        <v>16493.650000000001</v>
      </c>
    </row>
    <row r="1815" spans="2:3">
      <c r="B1815" s="156">
        <v>43635</v>
      </c>
      <c r="C1815" s="157">
        <v>16283.94</v>
      </c>
    </row>
    <row r="1816" spans="2:3">
      <c r="B1816" s="156">
        <v>43634</v>
      </c>
      <c r="C1816" s="157">
        <v>16283.98</v>
      </c>
    </row>
    <row r="1817" spans="2:3">
      <c r="B1817" s="156">
        <v>43633</v>
      </c>
      <c r="C1817" s="157">
        <v>16257.06</v>
      </c>
    </row>
    <row r="1818" spans="2:3">
      <c r="B1818" s="156">
        <v>43630</v>
      </c>
      <c r="C1818" s="157">
        <v>16467.55</v>
      </c>
    </row>
    <row r="1819" spans="2:3">
      <c r="B1819" s="156">
        <v>43629</v>
      </c>
      <c r="C1819" s="157">
        <v>16593.97</v>
      </c>
    </row>
    <row r="1820" spans="2:3">
      <c r="B1820" s="156">
        <v>43628</v>
      </c>
      <c r="C1820" s="157">
        <v>16568.09</v>
      </c>
    </row>
    <row r="1821" spans="2:3">
      <c r="B1821" s="156">
        <v>43627</v>
      </c>
      <c r="C1821" s="157">
        <v>16650.75</v>
      </c>
    </row>
    <row r="1822" spans="2:3">
      <c r="B1822" s="156">
        <v>43626</v>
      </c>
      <c r="C1822" s="157">
        <v>16590.990000000002</v>
      </c>
    </row>
    <row r="1823" spans="2:3">
      <c r="B1823" s="156">
        <v>43623</v>
      </c>
      <c r="C1823" s="157">
        <v>16518.62</v>
      </c>
    </row>
    <row r="1824" spans="2:3">
      <c r="B1824" s="156">
        <v>43622</v>
      </c>
      <c r="C1824" s="157">
        <v>16481.14</v>
      </c>
    </row>
    <row r="1825" spans="2:3">
      <c r="B1825" s="156">
        <v>43620</v>
      </c>
      <c r="C1825" s="157">
        <v>16728.740000000002</v>
      </c>
    </row>
    <row r="1826" spans="2:3">
      <c r="B1826" s="156">
        <v>43619</v>
      </c>
      <c r="C1826" s="157">
        <v>16815.25</v>
      </c>
    </row>
    <row r="1827" spans="2:3">
      <c r="B1827" s="156">
        <v>43616</v>
      </c>
      <c r="C1827" s="157">
        <v>16583.46</v>
      </c>
    </row>
    <row r="1828" spans="2:3">
      <c r="B1828" s="156">
        <v>43615</v>
      </c>
      <c r="C1828" s="157">
        <v>16615.59</v>
      </c>
    </row>
    <row r="1829" spans="2:3">
      <c r="B1829" s="156">
        <v>43614</v>
      </c>
      <c r="C1829" s="157">
        <v>16497.62</v>
      </c>
    </row>
    <row r="1830" spans="2:3">
      <c r="B1830" s="156">
        <v>43613</v>
      </c>
      <c r="C1830" s="157">
        <v>16591.7</v>
      </c>
    </row>
    <row r="1831" spans="2:3">
      <c r="B1831" s="156">
        <v>43612</v>
      </c>
      <c r="C1831" s="157">
        <v>16585.13</v>
      </c>
    </row>
    <row r="1832" spans="2:3">
      <c r="B1832" s="156">
        <v>43609</v>
      </c>
      <c r="C1832" s="157">
        <v>16472.95</v>
      </c>
    </row>
    <row r="1833" spans="2:3">
      <c r="B1833" s="156">
        <v>43608</v>
      </c>
      <c r="C1833" s="157">
        <v>16212.78</v>
      </c>
    </row>
    <row r="1834" spans="2:3">
      <c r="B1834" s="156">
        <v>43607</v>
      </c>
      <c r="C1834" s="157">
        <v>16325.28</v>
      </c>
    </row>
    <row r="1835" spans="2:3">
      <c r="B1835" s="156">
        <v>43606</v>
      </c>
      <c r="C1835" s="157">
        <v>16268.26</v>
      </c>
    </row>
    <row r="1836" spans="2:3">
      <c r="B1836" s="156">
        <v>43605</v>
      </c>
      <c r="C1836" s="157">
        <v>16433.77</v>
      </c>
    </row>
    <row r="1837" spans="2:3">
      <c r="B1837" s="156">
        <v>43602</v>
      </c>
      <c r="C1837" s="157">
        <v>15848.71</v>
      </c>
    </row>
    <row r="1838" spans="2:3">
      <c r="B1838" s="156">
        <v>43601</v>
      </c>
      <c r="C1838" s="157">
        <v>15640.22</v>
      </c>
    </row>
    <row r="1839" spans="2:3">
      <c r="B1839" s="156">
        <v>43600</v>
      </c>
      <c r="C1839" s="157">
        <v>15500.82</v>
      </c>
    </row>
    <row r="1840" spans="2:3">
      <c r="B1840" s="156">
        <v>43599</v>
      </c>
      <c r="C1840" s="157">
        <v>15591.19</v>
      </c>
    </row>
    <row r="1841" spans="2:3">
      <c r="B1841" s="156">
        <v>43598</v>
      </c>
      <c r="C1841" s="157">
        <v>15488.6</v>
      </c>
    </row>
    <row r="1842" spans="2:3">
      <c r="B1842" s="156">
        <v>43595</v>
      </c>
      <c r="C1842" s="157">
        <v>15670.18</v>
      </c>
    </row>
    <row r="1843" spans="2:3">
      <c r="B1843" s="156">
        <v>43594</v>
      </c>
      <c r="C1843" s="157">
        <v>15701.95</v>
      </c>
    </row>
    <row r="1844" spans="2:3">
      <c r="B1844" s="156">
        <v>43593</v>
      </c>
      <c r="C1844" s="157">
        <v>15782.09</v>
      </c>
    </row>
    <row r="1845" spans="2:3">
      <c r="B1845" s="156">
        <v>43592</v>
      </c>
      <c r="C1845" s="157">
        <v>15974.41</v>
      </c>
    </row>
    <row r="1846" spans="2:3">
      <c r="B1846" s="156">
        <v>43591</v>
      </c>
      <c r="C1846" s="157">
        <v>16110.44</v>
      </c>
    </row>
    <row r="1847" spans="2:3">
      <c r="B1847" s="156">
        <v>43588</v>
      </c>
      <c r="C1847" s="157">
        <v>16268.79</v>
      </c>
    </row>
    <row r="1848" spans="2:3">
      <c r="B1848" s="156">
        <v>43587</v>
      </c>
      <c r="C1848" s="157">
        <v>16286.18</v>
      </c>
    </row>
    <row r="1849" spans="2:3">
      <c r="B1849" s="156">
        <v>43585</v>
      </c>
      <c r="C1849" s="157">
        <v>16318.66</v>
      </c>
    </row>
    <row r="1850" spans="2:3">
      <c r="B1850" s="156">
        <v>43581</v>
      </c>
      <c r="C1850" s="157">
        <v>16327.7</v>
      </c>
    </row>
    <row r="1851" spans="2:3">
      <c r="B1851" s="156">
        <v>43580</v>
      </c>
      <c r="C1851" s="157">
        <v>16170.98</v>
      </c>
    </row>
    <row r="1852" spans="2:3">
      <c r="B1852" s="156">
        <v>43579</v>
      </c>
      <c r="C1852" s="157">
        <v>16288.16</v>
      </c>
    </row>
    <row r="1853" spans="2:3">
      <c r="B1853" s="156">
        <v>43578</v>
      </c>
      <c r="C1853" s="157">
        <v>16079.51</v>
      </c>
    </row>
    <row r="1854" spans="2:3">
      <c r="B1854" s="156">
        <v>43577</v>
      </c>
      <c r="C1854" s="157">
        <v>16105.19</v>
      </c>
    </row>
    <row r="1855" spans="2:3">
      <c r="B1855" s="156">
        <v>43573</v>
      </c>
      <c r="C1855" s="157">
        <v>16325.13</v>
      </c>
    </row>
    <row r="1856" spans="2:3">
      <c r="B1856" s="156">
        <v>43571</v>
      </c>
      <c r="C1856" s="157">
        <v>16372.86</v>
      </c>
    </row>
    <row r="1857" spans="2:3">
      <c r="B1857" s="156">
        <v>43570</v>
      </c>
      <c r="C1857" s="157">
        <v>16238.41</v>
      </c>
    </row>
    <row r="1858" spans="2:3">
      <c r="B1858" s="156">
        <v>43567</v>
      </c>
      <c r="C1858" s="157">
        <v>16173.27</v>
      </c>
    </row>
    <row r="1859" spans="2:3">
      <c r="B1859" s="156">
        <v>43566</v>
      </c>
      <c r="C1859" s="157">
        <v>16108.32</v>
      </c>
    </row>
    <row r="1860" spans="2:3">
      <c r="B1860" s="156">
        <v>43565</v>
      </c>
      <c r="C1860" s="157">
        <v>16091.08</v>
      </c>
    </row>
    <row r="1861" spans="2:3">
      <c r="B1861" s="156">
        <v>43564</v>
      </c>
      <c r="C1861" s="157">
        <v>16212.81</v>
      </c>
    </row>
    <row r="1862" spans="2:3">
      <c r="B1862" s="156">
        <v>43563</v>
      </c>
      <c r="C1862" s="157">
        <v>16119.14</v>
      </c>
    </row>
    <row r="1863" spans="2:3">
      <c r="B1863" s="156">
        <v>43560</v>
      </c>
      <c r="C1863" s="157">
        <v>16204.48</v>
      </c>
    </row>
    <row r="1864" spans="2:3">
      <c r="B1864" s="156">
        <v>43559</v>
      </c>
      <c r="C1864" s="157">
        <v>16110.09</v>
      </c>
    </row>
    <row r="1865" spans="2:3">
      <c r="B1865" s="156">
        <v>43558</v>
      </c>
      <c r="C1865" s="157">
        <v>16173.92</v>
      </c>
    </row>
    <row r="1866" spans="2:3">
      <c r="B1866" s="156">
        <v>43557</v>
      </c>
      <c r="C1866" s="157">
        <v>16270.13</v>
      </c>
    </row>
    <row r="1867" spans="2:3">
      <c r="B1867" s="156">
        <v>43556</v>
      </c>
      <c r="C1867" s="157">
        <v>16208.94</v>
      </c>
    </row>
    <row r="1868" spans="2:3">
      <c r="B1868" s="156">
        <v>43553</v>
      </c>
      <c r="C1868" s="157">
        <v>16146.11</v>
      </c>
    </row>
    <row r="1869" spans="2:3">
      <c r="B1869" s="156">
        <v>43552</v>
      </c>
      <c r="C1869" s="157">
        <v>16071.26</v>
      </c>
    </row>
    <row r="1870" spans="2:3">
      <c r="B1870" s="156">
        <v>43551</v>
      </c>
      <c r="C1870" s="157">
        <v>15897.65</v>
      </c>
    </row>
    <row r="1871" spans="2:3">
      <c r="B1871" s="156">
        <v>43550</v>
      </c>
      <c r="C1871" s="157">
        <v>15949.46</v>
      </c>
    </row>
    <row r="1872" spans="2:3">
      <c r="B1872" s="156">
        <v>43549</v>
      </c>
      <c r="C1872" s="157">
        <v>15770.26</v>
      </c>
    </row>
    <row r="1873" spans="2:3">
      <c r="B1873" s="156">
        <v>43546</v>
      </c>
      <c r="C1873" s="157">
        <v>15912.88</v>
      </c>
    </row>
    <row r="1874" spans="2:3">
      <c r="B1874" s="156">
        <v>43544</v>
      </c>
      <c r="C1874" s="157">
        <v>15998.51</v>
      </c>
    </row>
    <row r="1875" spans="2:3">
      <c r="B1875" s="156">
        <v>43543</v>
      </c>
      <c r="C1875" s="157">
        <v>16014.33</v>
      </c>
    </row>
    <row r="1876" spans="2:3">
      <c r="B1876" s="156">
        <v>43542</v>
      </c>
      <c r="C1876" s="157">
        <v>15916.8</v>
      </c>
    </row>
    <row r="1877" spans="2:3">
      <c r="B1877" s="156">
        <v>43539</v>
      </c>
      <c r="C1877" s="157">
        <v>15867.74</v>
      </c>
    </row>
    <row r="1878" spans="2:3">
      <c r="B1878" s="156">
        <v>43538</v>
      </c>
      <c r="C1878" s="157">
        <v>15749.67</v>
      </c>
    </row>
    <row r="1879" spans="2:3">
      <c r="B1879" s="156">
        <v>43537</v>
      </c>
      <c r="C1879" s="157">
        <v>15742.86</v>
      </c>
    </row>
    <row r="1880" spans="2:3">
      <c r="B1880" s="156">
        <v>43536</v>
      </c>
      <c r="C1880" s="157">
        <v>15685.41</v>
      </c>
    </row>
    <row r="1881" spans="2:3">
      <c r="B1881" s="156">
        <v>43535</v>
      </c>
      <c r="C1881" s="157">
        <v>15500.61</v>
      </c>
    </row>
    <row r="1882" spans="2:3">
      <c r="B1882" s="156">
        <v>43532</v>
      </c>
      <c r="C1882" s="157">
        <v>15316.51</v>
      </c>
    </row>
    <row r="1883" spans="2:3">
      <c r="B1883" s="156">
        <v>43531</v>
      </c>
      <c r="C1883" s="157">
        <v>15348.14</v>
      </c>
    </row>
    <row r="1884" spans="2:3">
      <c r="B1884" s="156">
        <v>43530</v>
      </c>
      <c r="C1884" s="157">
        <v>15340.93</v>
      </c>
    </row>
    <row r="1885" spans="2:3">
      <c r="B1885" s="156">
        <v>43529</v>
      </c>
      <c r="C1885" s="157">
        <v>15249.97</v>
      </c>
    </row>
    <row r="1886" spans="2:3">
      <c r="B1886" s="156">
        <v>43525</v>
      </c>
      <c r="C1886" s="157">
        <v>15077.91</v>
      </c>
    </row>
    <row r="1887" spans="2:3">
      <c r="B1887" s="156">
        <v>43524</v>
      </c>
      <c r="C1887" s="157">
        <v>14979.39</v>
      </c>
    </row>
    <row r="1888" spans="2:3">
      <c r="B1888" s="156">
        <v>43523</v>
      </c>
      <c r="C1888" s="157">
        <v>14993.45</v>
      </c>
    </row>
    <row r="1889" spans="2:3">
      <c r="B1889" s="156">
        <v>43522</v>
      </c>
      <c r="C1889" s="157">
        <v>15033.15</v>
      </c>
    </row>
    <row r="1890" spans="2:3">
      <c r="B1890" s="156">
        <v>43521</v>
      </c>
      <c r="C1890" s="157">
        <v>15095.33</v>
      </c>
    </row>
    <row r="1891" spans="2:3">
      <c r="B1891" s="156">
        <v>43518</v>
      </c>
      <c r="C1891" s="157">
        <v>14972.58</v>
      </c>
    </row>
    <row r="1892" spans="2:3">
      <c r="B1892" s="156">
        <v>43517</v>
      </c>
      <c r="C1892" s="157">
        <v>14970.12</v>
      </c>
    </row>
    <row r="1893" spans="2:3">
      <c r="B1893" s="156">
        <v>43516</v>
      </c>
      <c r="C1893" s="157">
        <v>14891.6</v>
      </c>
    </row>
    <row r="1894" spans="2:3">
      <c r="B1894" s="156">
        <v>43515</v>
      </c>
      <c r="C1894" s="157">
        <v>14709.75</v>
      </c>
    </row>
    <row r="1895" spans="2:3">
      <c r="B1895" s="156">
        <v>43514</v>
      </c>
      <c r="C1895" s="157">
        <v>14760.48</v>
      </c>
    </row>
    <row r="1896" spans="2:3">
      <c r="B1896" s="156">
        <v>43511</v>
      </c>
      <c r="C1896" s="157">
        <v>14876.27</v>
      </c>
    </row>
    <row r="1897" spans="2:3">
      <c r="B1897" s="156">
        <v>43510</v>
      </c>
      <c r="C1897" s="157">
        <v>14906.26</v>
      </c>
    </row>
    <row r="1898" spans="2:3">
      <c r="B1898" s="156">
        <v>43509</v>
      </c>
      <c r="C1898" s="157">
        <v>14970.62</v>
      </c>
    </row>
    <row r="1899" spans="2:3">
      <c r="B1899" s="156">
        <v>43508</v>
      </c>
      <c r="C1899" s="157">
        <v>15023.02</v>
      </c>
    </row>
    <row r="1900" spans="2:3">
      <c r="B1900" s="156">
        <v>43507</v>
      </c>
      <c r="C1900" s="157">
        <v>15100.61</v>
      </c>
    </row>
    <row r="1901" spans="2:3">
      <c r="B1901" s="156">
        <v>43504</v>
      </c>
      <c r="C1901" s="157">
        <v>15173.02</v>
      </c>
    </row>
    <row r="1902" spans="2:3">
      <c r="B1902" s="156">
        <v>43503</v>
      </c>
      <c r="C1902" s="157">
        <v>15347.41</v>
      </c>
    </row>
    <row r="1903" spans="2:3">
      <c r="B1903" s="156">
        <v>43502</v>
      </c>
      <c r="C1903" s="157">
        <v>15337.8</v>
      </c>
    </row>
    <row r="1904" spans="2:3">
      <c r="B1904" s="156">
        <v>43501</v>
      </c>
      <c r="C1904" s="157">
        <v>15155.99</v>
      </c>
    </row>
    <row r="1905" spans="2:3">
      <c r="B1905" s="156">
        <v>43500</v>
      </c>
      <c r="C1905" s="157">
        <v>15125.02</v>
      </c>
    </row>
    <row r="1906" spans="2:3">
      <c r="B1906" s="156">
        <v>43497</v>
      </c>
      <c r="C1906" s="157">
        <v>15099.21</v>
      </c>
    </row>
    <row r="1907" spans="2:3">
      <c r="B1907" s="156">
        <v>43496</v>
      </c>
      <c r="C1907" s="157">
        <v>15012.34</v>
      </c>
    </row>
    <row r="1908" spans="2:3">
      <c r="B1908" s="156">
        <v>43495</v>
      </c>
      <c r="C1908" s="157">
        <v>14764.02</v>
      </c>
    </row>
    <row r="1909" spans="2:3">
      <c r="B1909" s="156">
        <v>43494</v>
      </c>
      <c r="C1909" s="157">
        <v>14764.59</v>
      </c>
    </row>
    <row r="1910" spans="2:3">
      <c r="B1910" s="156">
        <v>43493</v>
      </c>
      <c r="C1910" s="157">
        <v>14777.11</v>
      </c>
    </row>
    <row r="1911" spans="2:3">
      <c r="B1911" s="156">
        <v>43490</v>
      </c>
      <c r="C1911" s="157">
        <v>14942.09</v>
      </c>
    </row>
    <row r="1912" spans="2:3">
      <c r="B1912" s="156">
        <v>43489</v>
      </c>
      <c r="C1912" s="157">
        <v>15038.07</v>
      </c>
    </row>
    <row r="1913" spans="2:3">
      <c r="B1913" s="156">
        <v>43488</v>
      </c>
      <c r="C1913" s="157">
        <v>15007.4</v>
      </c>
    </row>
    <row r="1914" spans="2:3">
      <c r="B1914" s="156">
        <v>43487</v>
      </c>
      <c r="C1914" s="157">
        <v>15133.83</v>
      </c>
    </row>
    <row r="1915" spans="2:3">
      <c r="B1915" s="156">
        <v>43486</v>
      </c>
      <c r="C1915" s="157">
        <v>15188</v>
      </c>
    </row>
    <row r="1916" spans="2:3">
      <c r="B1916" s="156">
        <v>43483</v>
      </c>
      <c r="C1916" s="157">
        <v>15111.95</v>
      </c>
    </row>
    <row r="1917" spans="2:3">
      <c r="B1917" s="156">
        <v>43482</v>
      </c>
      <c r="C1917" s="157">
        <v>15109.54</v>
      </c>
    </row>
    <row r="1918" spans="2:3">
      <c r="B1918" s="156">
        <v>43481</v>
      </c>
      <c r="C1918" s="157">
        <v>15087.41</v>
      </c>
    </row>
    <row r="1919" spans="2:3">
      <c r="B1919" s="156">
        <v>43480</v>
      </c>
      <c r="C1919" s="157">
        <v>15082.59</v>
      </c>
    </row>
    <row r="1920" spans="2:3">
      <c r="B1920" s="156">
        <v>43479</v>
      </c>
      <c r="C1920" s="157">
        <v>14875.92</v>
      </c>
    </row>
    <row r="1921" spans="2:3">
      <c r="B1921" s="156">
        <v>43476</v>
      </c>
      <c r="C1921" s="157">
        <v>14955.33</v>
      </c>
    </row>
    <row r="1922" spans="2:3">
      <c r="B1922" s="156">
        <v>43475</v>
      </c>
      <c r="C1922" s="157">
        <v>14992.23</v>
      </c>
    </row>
    <row r="1923" spans="2:3">
      <c r="B1923" s="156">
        <v>43474</v>
      </c>
      <c r="C1923" s="157">
        <v>15038.74</v>
      </c>
    </row>
    <row r="1924" spans="2:3">
      <c r="B1924" s="156">
        <v>43473</v>
      </c>
      <c r="C1924" s="157">
        <v>14965.34</v>
      </c>
    </row>
    <row r="1925" spans="2:3">
      <c r="B1925" s="156">
        <v>43472</v>
      </c>
      <c r="C1925" s="157">
        <v>14923.27</v>
      </c>
    </row>
    <row r="1926" spans="2:3">
      <c r="B1926" s="156">
        <v>43469</v>
      </c>
      <c r="C1926" s="157">
        <v>14861.69</v>
      </c>
    </row>
    <row r="1927" spans="2:3">
      <c r="B1927" s="156">
        <v>43468</v>
      </c>
      <c r="C1927" s="157">
        <v>14785.38</v>
      </c>
    </row>
    <row r="1928" spans="2:3">
      <c r="B1928" s="156">
        <v>43467</v>
      </c>
      <c r="C1928" s="157">
        <v>14951.96</v>
      </c>
    </row>
    <row r="1929" spans="2:3">
      <c r="B1929" s="156">
        <v>43466</v>
      </c>
      <c r="C1929" s="157">
        <v>15114.9</v>
      </c>
    </row>
    <row r="1930" spans="2:3">
      <c r="B1930" s="156">
        <v>43465</v>
      </c>
      <c r="C1930" s="157">
        <v>15048.98</v>
      </c>
    </row>
    <row r="1931" spans="2:3">
      <c r="B1931" s="156">
        <v>43462</v>
      </c>
      <c r="C1931" s="157">
        <v>15045.34</v>
      </c>
    </row>
    <row r="1932" spans="2:3">
      <c r="B1932" s="156">
        <v>43461</v>
      </c>
      <c r="C1932" s="157">
        <v>14930.18</v>
      </c>
    </row>
    <row r="1933" spans="2:3">
      <c r="B1933" s="156">
        <v>43460</v>
      </c>
      <c r="C1933" s="157">
        <v>14860.97</v>
      </c>
    </row>
    <row r="1934" spans="2:3">
      <c r="B1934" s="156">
        <v>43458</v>
      </c>
      <c r="C1934" s="157">
        <v>14769.13</v>
      </c>
    </row>
    <row r="1935" spans="2:3">
      <c r="B1935" s="156">
        <v>43455</v>
      </c>
      <c r="C1935" s="157">
        <v>14894.42</v>
      </c>
    </row>
    <row r="1936" spans="2:3">
      <c r="B1936" s="156">
        <v>43454</v>
      </c>
      <c r="C1936" s="157">
        <v>15163.14</v>
      </c>
    </row>
    <row r="1937" spans="2:3">
      <c r="B1937" s="156">
        <v>43453</v>
      </c>
      <c r="C1937" s="157">
        <v>15184.78</v>
      </c>
    </row>
    <row r="1938" spans="2:3">
      <c r="B1938" s="156">
        <v>43452</v>
      </c>
      <c r="C1938" s="157">
        <v>15103.63</v>
      </c>
    </row>
    <row r="1939" spans="2:3">
      <c r="B1939" s="156">
        <v>43451</v>
      </c>
      <c r="C1939" s="157">
        <v>15075.46</v>
      </c>
    </row>
    <row r="1940" spans="2:3">
      <c r="B1940" s="156">
        <v>43448</v>
      </c>
      <c r="C1940" s="157">
        <v>14960.64</v>
      </c>
    </row>
    <row r="1941" spans="2:3">
      <c r="B1941" s="156">
        <v>43447</v>
      </c>
      <c r="C1941" s="157">
        <v>14941.4</v>
      </c>
    </row>
    <row r="1942" spans="2:3">
      <c r="B1942" s="156">
        <v>43446</v>
      </c>
      <c r="C1942" s="157">
        <v>14866.71</v>
      </c>
    </row>
    <row r="1943" spans="2:3">
      <c r="B1943" s="156">
        <v>43445</v>
      </c>
      <c r="C1943" s="157">
        <v>14605.79</v>
      </c>
    </row>
    <row r="1944" spans="2:3">
      <c r="B1944" s="156">
        <v>43444</v>
      </c>
      <c r="C1944" s="157">
        <v>14521.73</v>
      </c>
    </row>
    <row r="1945" spans="2:3">
      <c r="B1945" s="156">
        <v>43441</v>
      </c>
      <c r="C1945" s="157">
        <v>14805.93</v>
      </c>
    </row>
    <row r="1946" spans="2:3">
      <c r="B1946" s="156">
        <v>43440</v>
      </c>
      <c r="C1946" s="157">
        <v>14677.79</v>
      </c>
    </row>
    <row r="1947" spans="2:3">
      <c r="B1947" s="156">
        <v>43439</v>
      </c>
      <c r="C1947" s="157">
        <v>14929.43</v>
      </c>
    </row>
    <row r="1948" spans="2:3">
      <c r="B1948" s="156">
        <v>43438</v>
      </c>
      <c r="C1948" s="157">
        <v>15049.32</v>
      </c>
    </row>
    <row r="1949" spans="2:3">
      <c r="B1949" s="156">
        <v>43437</v>
      </c>
      <c r="C1949" s="157">
        <v>15069.07</v>
      </c>
    </row>
    <row r="1950" spans="2:3">
      <c r="B1950" s="156">
        <v>43434</v>
      </c>
      <c r="C1950" s="157">
        <v>15059.37</v>
      </c>
    </row>
    <row r="1951" spans="2:3">
      <c r="B1951" s="156">
        <v>43433</v>
      </c>
      <c r="C1951" s="157">
        <v>15034.36</v>
      </c>
    </row>
    <row r="1952" spans="2:3">
      <c r="B1952" s="156">
        <v>43432</v>
      </c>
      <c r="C1952" s="157">
        <v>14854.61</v>
      </c>
    </row>
    <row r="1953" spans="2:3">
      <c r="B1953" s="156">
        <v>43431</v>
      </c>
      <c r="C1953" s="157">
        <v>14794.7</v>
      </c>
    </row>
    <row r="1954" spans="2:3">
      <c r="B1954" s="156">
        <v>43430</v>
      </c>
      <c r="C1954" s="157">
        <v>14715.81</v>
      </c>
    </row>
    <row r="1955" spans="2:3">
      <c r="B1955" s="156">
        <v>43426</v>
      </c>
      <c r="C1955" s="157">
        <v>14574.82</v>
      </c>
    </row>
    <row r="1956" spans="2:3">
      <c r="B1956" s="156">
        <v>43425</v>
      </c>
      <c r="C1956" s="157">
        <v>14676.29</v>
      </c>
    </row>
    <row r="1957" spans="2:3">
      <c r="B1957" s="156">
        <v>43424</v>
      </c>
      <c r="C1957" s="157">
        <v>14754.03</v>
      </c>
    </row>
    <row r="1958" spans="2:3">
      <c r="B1958" s="156">
        <v>43423</v>
      </c>
      <c r="C1958" s="157">
        <v>14902.44</v>
      </c>
    </row>
    <row r="1959" spans="2:3">
      <c r="B1959" s="156">
        <v>43420</v>
      </c>
      <c r="C1959" s="157">
        <v>14790.05</v>
      </c>
    </row>
    <row r="1960" spans="2:3">
      <c r="B1960" s="156">
        <v>43419</v>
      </c>
      <c r="C1960" s="157">
        <v>14699.33</v>
      </c>
    </row>
    <row r="1961" spans="2:3">
      <c r="B1961" s="156">
        <v>43418</v>
      </c>
      <c r="C1961" s="157">
        <v>14643.42</v>
      </c>
    </row>
    <row r="1962" spans="2:3">
      <c r="B1962" s="156">
        <v>43417</v>
      </c>
      <c r="C1962" s="157">
        <v>14651.98</v>
      </c>
    </row>
    <row r="1963" spans="2:3">
      <c r="B1963" s="156">
        <v>43416</v>
      </c>
      <c r="C1963" s="157">
        <v>14513.12</v>
      </c>
    </row>
    <row r="1964" spans="2:3">
      <c r="B1964" s="156">
        <v>43413</v>
      </c>
      <c r="C1964" s="157">
        <v>14655.69</v>
      </c>
    </row>
    <row r="1965" spans="2:3">
      <c r="B1965" s="156">
        <v>43411</v>
      </c>
      <c r="C1965" s="157">
        <v>14673.98</v>
      </c>
    </row>
    <row r="1966" spans="2:3">
      <c r="B1966" s="156">
        <v>43410</v>
      </c>
      <c r="C1966" s="157">
        <v>14579.28</v>
      </c>
    </row>
    <row r="1967" spans="2:3">
      <c r="B1967" s="156">
        <v>43409</v>
      </c>
      <c r="C1967" s="157">
        <v>14570.98</v>
      </c>
    </row>
    <row r="1968" spans="2:3">
      <c r="B1968" s="156">
        <v>43406</v>
      </c>
      <c r="C1968" s="157">
        <v>14609.96</v>
      </c>
    </row>
    <row r="1969" spans="2:3">
      <c r="B1969" s="156">
        <v>43405</v>
      </c>
      <c r="C1969" s="157">
        <v>14371.1</v>
      </c>
    </row>
    <row r="1970" spans="2:3">
      <c r="B1970" s="156">
        <v>43404</v>
      </c>
      <c r="C1970" s="157">
        <v>14377.38</v>
      </c>
    </row>
    <row r="1971" spans="2:3">
      <c r="B1971" s="156">
        <v>43403</v>
      </c>
      <c r="C1971" s="157">
        <v>14116.91</v>
      </c>
    </row>
    <row r="1972" spans="2:3">
      <c r="B1972" s="156">
        <v>43402</v>
      </c>
      <c r="C1972" s="157">
        <v>14189.11</v>
      </c>
    </row>
    <row r="1973" spans="2:3">
      <c r="B1973" s="156">
        <v>43399</v>
      </c>
      <c r="C1973" s="157">
        <v>13882.95</v>
      </c>
    </row>
    <row r="1974" spans="2:3">
      <c r="B1974" s="156">
        <v>43398</v>
      </c>
      <c r="C1974" s="157">
        <v>14014.33</v>
      </c>
    </row>
    <row r="1975" spans="2:3">
      <c r="B1975" s="156">
        <v>43397</v>
      </c>
      <c r="C1975" s="157">
        <v>14139.75</v>
      </c>
    </row>
    <row r="1976" spans="2:3">
      <c r="B1976" s="156">
        <v>43396</v>
      </c>
      <c r="C1976" s="157">
        <v>14031.96</v>
      </c>
    </row>
    <row r="1977" spans="2:3">
      <c r="B1977" s="156">
        <v>43395</v>
      </c>
      <c r="C1977" s="157">
        <v>14166.64</v>
      </c>
    </row>
    <row r="1978" spans="2:3">
      <c r="B1978" s="156">
        <v>43392</v>
      </c>
      <c r="C1978" s="157">
        <v>14247.22</v>
      </c>
    </row>
    <row r="1979" spans="2:3">
      <c r="B1979" s="156">
        <v>43390</v>
      </c>
      <c r="C1979" s="157">
        <v>14453.94</v>
      </c>
    </row>
    <row r="1980" spans="2:3">
      <c r="B1980" s="156">
        <v>43389</v>
      </c>
      <c r="C1980" s="157">
        <v>14636.1</v>
      </c>
    </row>
    <row r="1981" spans="2:3">
      <c r="B1981" s="156">
        <v>43388</v>
      </c>
      <c r="C1981" s="157">
        <v>14536.17</v>
      </c>
    </row>
    <row r="1982" spans="2:3">
      <c r="B1982" s="156">
        <v>43385</v>
      </c>
      <c r="C1982" s="157">
        <v>14480.86</v>
      </c>
    </row>
    <row r="1983" spans="2:3">
      <c r="B1983" s="156">
        <v>43384</v>
      </c>
      <c r="C1983" s="157">
        <v>14152</v>
      </c>
    </row>
    <row r="1984" spans="2:3">
      <c r="B1984" s="156">
        <v>43383</v>
      </c>
      <c r="C1984" s="157">
        <v>14463.71</v>
      </c>
    </row>
    <row r="1985" spans="2:3">
      <c r="B1985" s="156">
        <v>43382</v>
      </c>
      <c r="C1985" s="157">
        <v>14243.79</v>
      </c>
    </row>
    <row r="1986" spans="2:3">
      <c r="B1986" s="156">
        <v>43381</v>
      </c>
      <c r="C1986" s="157">
        <v>14308.79</v>
      </c>
    </row>
    <row r="1987" spans="2:3">
      <c r="B1987" s="156">
        <v>43378</v>
      </c>
      <c r="C1987" s="157">
        <v>14265.08</v>
      </c>
    </row>
    <row r="1988" spans="2:3">
      <c r="B1988" s="156">
        <v>43377</v>
      </c>
      <c r="C1988" s="157">
        <v>14656.09</v>
      </c>
    </row>
    <row r="1989" spans="2:3">
      <c r="B1989" s="156">
        <v>43376</v>
      </c>
      <c r="C1989" s="157">
        <v>15014.23</v>
      </c>
    </row>
    <row r="1990" spans="2:3">
      <c r="B1990" s="156">
        <v>43374</v>
      </c>
      <c r="C1990" s="157">
        <v>15221.75</v>
      </c>
    </row>
    <row r="1991" spans="2:3">
      <c r="B1991" s="156">
        <v>43371</v>
      </c>
      <c r="C1991" s="157">
        <v>15114.08</v>
      </c>
    </row>
    <row r="1992" spans="2:3">
      <c r="B1992" s="156">
        <v>43370</v>
      </c>
      <c r="C1992" s="157">
        <v>15179.24</v>
      </c>
    </row>
    <row r="1993" spans="2:3">
      <c r="B1993" s="156">
        <v>43369</v>
      </c>
      <c r="C1993" s="157">
        <v>15284.67</v>
      </c>
    </row>
    <row r="1994" spans="2:3">
      <c r="B1994" s="156">
        <v>43368</v>
      </c>
      <c r="C1994" s="157">
        <v>15303.55</v>
      </c>
    </row>
    <row r="1995" spans="2:3">
      <c r="B1995" s="156">
        <v>43367</v>
      </c>
      <c r="C1995" s="157">
        <v>15165.18</v>
      </c>
    </row>
    <row r="1996" spans="2:3">
      <c r="B1996" s="156">
        <v>43364</v>
      </c>
      <c r="C1996" s="157">
        <v>15408.16</v>
      </c>
    </row>
    <row r="1997" spans="2:3">
      <c r="B1997" s="156">
        <v>43362</v>
      </c>
      <c r="C1997" s="157">
        <v>15534.28</v>
      </c>
    </row>
    <row r="1998" spans="2:3">
      <c r="B1998" s="156">
        <v>43361</v>
      </c>
      <c r="C1998" s="157">
        <v>15594.57</v>
      </c>
    </row>
    <row r="1999" spans="2:3">
      <c r="B1999" s="156">
        <v>43360</v>
      </c>
      <c r="C1999" s="157">
        <v>15731.26</v>
      </c>
    </row>
    <row r="2000" spans="2:3">
      <c r="B2000" s="156">
        <v>43357</v>
      </c>
      <c r="C2000" s="157">
        <v>15920.48</v>
      </c>
    </row>
    <row r="2001" spans="2:3">
      <c r="B2001" s="156">
        <v>43355</v>
      </c>
      <c r="C2001" s="157">
        <v>15719.62</v>
      </c>
    </row>
    <row r="2002" spans="2:3">
      <c r="B2002" s="156">
        <v>43354</v>
      </c>
      <c r="C2002" s="157">
        <v>15605.11</v>
      </c>
    </row>
    <row r="2003" spans="2:3">
      <c r="B2003" s="156">
        <v>43353</v>
      </c>
      <c r="C2003" s="157">
        <v>15813.26</v>
      </c>
    </row>
    <row r="2004" spans="2:3">
      <c r="B2004" s="156">
        <v>43350</v>
      </c>
      <c r="C2004" s="157">
        <v>16019.84</v>
      </c>
    </row>
    <row r="2005" spans="2:3">
      <c r="B2005" s="156">
        <v>43349</v>
      </c>
      <c r="C2005" s="157">
        <v>15947.67</v>
      </c>
    </row>
    <row r="2006" spans="2:3">
      <c r="B2006" s="156">
        <v>43348</v>
      </c>
      <c r="C2006" s="157">
        <v>15862.15</v>
      </c>
    </row>
    <row r="2007" spans="2:3">
      <c r="B2007" s="156">
        <v>43347</v>
      </c>
      <c r="C2007" s="157">
        <v>15922.09</v>
      </c>
    </row>
    <row r="2008" spans="2:3">
      <c r="B2008" s="156">
        <v>43346</v>
      </c>
      <c r="C2008" s="157">
        <v>16007.84</v>
      </c>
    </row>
    <row r="2009" spans="2:3">
      <c r="B2009" s="156">
        <v>43343</v>
      </c>
      <c r="C2009" s="157">
        <v>16143.51</v>
      </c>
    </row>
    <row r="2010" spans="2:3">
      <c r="B2010" s="156">
        <v>43342</v>
      </c>
      <c r="C2010" s="157">
        <v>16135.61</v>
      </c>
    </row>
    <row r="2011" spans="2:3">
      <c r="B2011" s="156">
        <v>43341</v>
      </c>
      <c r="C2011" s="157">
        <v>16156.02</v>
      </c>
    </row>
    <row r="2012" spans="2:3">
      <c r="B2012" s="156">
        <v>43340</v>
      </c>
      <c r="C2012" s="157">
        <v>16220.45</v>
      </c>
    </row>
    <row r="2013" spans="2:3">
      <c r="B2013" s="156">
        <v>43339</v>
      </c>
      <c r="C2013" s="157">
        <v>16156.09</v>
      </c>
    </row>
    <row r="2014" spans="2:3">
      <c r="B2014" s="156">
        <v>43336</v>
      </c>
      <c r="C2014" s="157">
        <v>15969.8</v>
      </c>
    </row>
    <row r="2015" spans="2:3">
      <c r="B2015" s="156">
        <v>43335</v>
      </c>
      <c r="C2015" s="157">
        <v>16001.85</v>
      </c>
    </row>
    <row r="2016" spans="2:3">
      <c r="B2016" s="156">
        <v>43333</v>
      </c>
      <c r="C2016" s="157">
        <v>15985.48</v>
      </c>
    </row>
    <row r="2017" spans="2:3">
      <c r="B2017" s="156">
        <v>43332</v>
      </c>
      <c r="C2017" s="157">
        <v>15959.04</v>
      </c>
    </row>
    <row r="2018" spans="2:3">
      <c r="B2018" s="156">
        <v>43329</v>
      </c>
      <c r="C2018" s="157">
        <v>15845.64</v>
      </c>
    </row>
    <row r="2019" spans="2:3">
      <c r="B2019" s="156">
        <v>43328</v>
      </c>
      <c r="C2019" s="157">
        <v>15727.25</v>
      </c>
    </row>
    <row r="2020" spans="2:3">
      <c r="B2020" s="156">
        <v>43326</v>
      </c>
      <c r="C2020" s="157">
        <v>15796.36</v>
      </c>
    </row>
    <row r="2021" spans="2:3">
      <c r="B2021" s="156">
        <v>43325</v>
      </c>
      <c r="C2021" s="157">
        <v>15676.23</v>
      </c>
    </row>
    <row r="2022" spans="2:3">
      <c r="B2022" s="156">
        <v>43322</v>
      </c>
      <c r="C2022" s="157">
        <v>15776.32</v>
      </c>
    </row>
    <row r="2023" spans="2:3">
      <c r="B2023" s="156">
        <v>43321</v>
      </c>
      <c r="C2023" s="157">
        <v>15833.23</v>
      </c>
    </row>
    <row r="2024" spans="2:3">
      <c r="B2024" s="156">
        <v>43320</v>
      </c>
      <c r="C2024" s="157">
        <v>15803.64</v>
      </c>
    </row>
    <row r="2025" spans="2:3">
      <c r="B2025" s="156">
        <v>43319</v>
      </c>
      <c r="C2025" s="157">
        <v>15720.05</v>
      </c>
    </row>
    <row r="2026" spans="2:3">
      <c r="B2026" s="156">
        <v>43318</v>
      </c>
      <c r="C2026" s="157">
        <v>15716.78</v>
      </c>
    </row>
    <row r="2027" spans="2:3">
      <c r="B2027" s="156">
        <v>43315</v>
      </c>
      <c r="C2027" s="157">
        <v>15680.51</v>
      </c>
    </row>
    <row r="2028" spans="2:3">
      <c r="B2028" s="156">
        <v>43314</v>
      </c>
      <c r="C2028" s="157">
        <v>15520.25</v>
      </c>
    </row>
    <row r="2029" spans="2:3">
      <c r="B2029" s="156">
        <v>43313</v>
      </c>
      <c r="C2029" s="157">
        <v>15658.27</v>
      </c>
    </row>
    <row r="2030" spans="2:3">
      <c r="B2030" s="156">
        <v>43312</v>
      </c>
      <c r="C2030" s="157">
        <v>15672.47</v>
      </c>
    </row>
    <row r="2031" spans="2:3">
      <c r="B2031" s="156">
        <v>43311</v>
      </c>
      <c r="C2031" s="157">
        <v>15621.47</v>
      </c>
    </row>
    <row r="2032" spans="2:3">
      <c r="B2032" s="156">
        <v>43308</v>
      </c>
      <c r="C2032" s="157">
        <v>15564.19</v>
      </c>
    </row>
    <row r="2033" spans="2:3">
      <c r="B2033" s="156">
        <v>43307</v>
      </c>
      <c r="C2033" s="157">
        <v>15410.93</v>
      </c>
    </row>
    <row r="2034" spans="2:3">
      <c r="B2034" s="156">
        <v>43306</v>
      </c>
      <c r="C2034" s="157">
        <v>15358.72</v>
      </c>
    </row>
    <row r="2035" spans="2:3">
      <c r="B2035" s="156">
        <v>43305</v>
      </c>
      <c r="C2035" s="157">
        <v>15361.88</v>
      </c>
    </row>
    <row r="2036" spans="2:3">
      <c r="B2036" s="156">
        <v>43304</v>
      </c>
      <c r="C2036" s="157">
        <v>15293.5</v>
      </c>
    </row>
    <row r="2037" spans="2:3">
      <c r="B2037" s="156">
        <v>43301</v>
      </c>
      <c r="C2037" s="157">
        <v>15190.13</v>
      </c>
    </row>
    <row r="2038" spans="2:3">
      <c r="B2038" s="156">
        <v>43300</v>
      </c>
      <c r="C2038" s="157">
        <v>15116.83</v>
      </c>
    </row>
    <row r="2039" spans="2:3">
      <c r="B2039" s="156">
        <v>43299</v>
      </c>
      <c r="C2039" s="157">
        <v>15135.57</v>
      </c>
    </row>
    <row r="2040" spans="2:3">
      <c r="B2040" s="156">
        <v>43298</v>
      </c>
      <c r="C2040" s="157">
        <v>15172.31</v>
      </c>
    </row>
    <row r="2041" spans="2:3">
      <c r="B2041" s="156">
        <v>43297</v>
      </c>
      <c r="C2041" s="157">
        <v>15072.66</v>
      </c>
    </row>
    <row r="2042" spans="2:3">
      <c r="B2042" s="156">
        <v>43294</v>
      </c>
      <c r="C2042" s="157">
        <v>15184.88</v>
      </c>
    </row>
    <row r="2043" spans="2:3">
      <c r="B2043" s="156">
        <v>43293</v>
      </c>
      <c r="C2043" s="157">
        <v>15190.82</v>
      </c>
    </row>
    <row r="2044" spans="2:3">
      <c r="B2044" s="156">
        <v>43292</v>
      </c>
      <c r="C2044" s="157">
        <v>15085.15</v>
      </c>
    </row>
    <row r="2045" spans="2:3">
      <c r="B2045" s="156">
        <v>43291</v>
      </c>
      <c r="C2045" s="157">
        <v>15081.6</v>
      </c>
    </row>
    <row r="2046" spans="2:3">
      <c r="B2046" s="156">
        <v>43290</v>
      </c>
      <c r="C2046" s="157">
        <v>14951.2</v>
      </c>
    </row>
    <row r="2047" spans="2:3">
      <c r="B2047" s="156">
        <v>43287</v>
      </c>
      <c r="C2047" s="157">
        <v>14840.13</v>
      </c>
    </row>
    <row r="2048" spans="2:3">
      <c r="B2048" s="156">
        <v>43286</v>
      </c>
      <c r="C2048" s="157">
        <v>14808.54</v>
      </c>
    </row>
    <row r="2049" spans="2:3">
      <c r="B2049" s="156">
        <v>43285</v>
      </c>
      <c r="C2049" s="157">
        <v>14830.5</v>
      </c>
    </row>
    <row r="2050" spans="2:3">
      <c r="B2050" s="156">
        <v>43284</v>
      </c>
      <c r="C2050" s="157">
        <v>14734.11</v>
      </c>
    </row>
    <row r="2051" spans="2:3">
      <c r="B2051" s="156">
        <v>43283</v>
      </c>
      <c r="C2051" s="157">
        <v>14675.42</v>
      </c>
    </row>
    <row r="2052" spans="2:3">
      <c r="B2052" s="156">
        <v>43280</v>
      </c>
      <c r="C2052" s="157">
        <v>14753.91</v>
      </c>
    </row>
    <row r="2053" spans="2:3">
      <c r="B2053" s="156">
        <v>43279</v>
      </c>
      <c r="C2053" s="157">
        <v>14581.53</v>
      </c>
    </row>
    <row r="2054" spans="2:3">
      <c r="B2054" s="156">
        <v>43278</v>
      </c>
      <c r="C2054" s="157">
        <v>14694.16</v>
      </c>
    </row>
    <row r="2055" spans="2:3">
      <c r="B2055" s="156">
        <v>43277</v>
      </c>
      <c r="C2055" s="157">
        <v>14821.45</v>
      </c>
    </row>
    <row r="2056" spans="2:3">
      <c r="B2056" s="156">
        <v>43276</v>
      </c>
      <c r="C2056" s="157">
        <v>14812.28</v>
      </c>
    </row>
    <row r="2057" spans="2:3">
      <c r="B2057" s="156">
        <v>43273</v>
      </c>
      <c r="C2057" s="157">
        <v>14894.02</v>
      </c>
    </row>
    <row r="2058" spans="2:3">
      <c r="B2058" s="156">
        <v>43272</v>
      </c>
      <c r="C2058" s="157">
        <v>14782.87</v>
      </c>
    </row>
    <row r="2059" spans="2:3">
      <c r="B2059" s="156">
        <v>43271</v>
      </c>
      <c r="C2059" s="157">
        <v>14822.46</v>
      </c>
    </row>
    <row r="2060" spans="2:3">
      <c r="B2060" s="156">
        <v>43270</v>
      </c>
      <c r="C2060" s="157">
        <v>14737.7</v>
      </c>
    </row>
    <row r="2061" spans="2:3">
      <c r="B2061" s="156">
        <v>43269</v>
      </c>
      <c r="C2061" s="157">
        <v>14860.73</v>
      </c>
    </row>
    <row r="2062" spans="2:3">
      <c r="B2062" s="156">
        <v>43266</v>
      </c>
      <c r="C2062" s="157">
        <v>14885.3</v>
      </c>
    </row>
    <row r="2063" spans="2:3">
      <c r="B2063" s="156">
        <v>43265</v>
      </c>
      <c r="C2063" s="157">
        <v>14871.97</v>
      </c>
    </row>
    <row r="2064" spans="2:3">
      <c r="B2064" s="156">
        <v>43264</v>
      </c>
      <c r="C2064" s="157">
        <v>14917.68</v>
      </c>
    </row>
    <row r="2065" spans="2:3">
      <c r="B2065" s="156">
        <v>43263</v>
      </c>
      <c r="C2065" s="157">
        <v>14898.66</v>
      </c>
    </row>
    <row r="2066" spans="2:3">
      <c r="B2066" s="156">
        <v>43262</v>
      </c>
      <c r="C2066" s="157">
        <v>14821.8</v>
      </c>
    </row>
    <row r="2067" spans="2:3">
      <c r="B2067" s="156">
        <v>43259</v>
      </c>
      <c r="C2067" s="157">
        <v>14795.31</v>
      </c>
    </row>
    <row r="2068" spans="2:3">
      <c r="B2068" s="156">
        <v>43258</v>
      </c>
      <c r="C2068" s="157">
        <v>14796.24</v>
      </c>
    </row>
    <row r="2069" spans="2:3">
      <c r="B2069" s="156">
        <v>43257</v>
      </c>
      <c r="C2069" s="157">
        <v>14681.25</v>
      </c>
    </row>
    <row r="2070" spans="2:3">
      <c r="B2070" s="156">
        <v>43256</v>
      </c>
      <c r="C2070" s="157">
        <v>14555.52</v>
      </c>
    </row>
    <row r="2071" spans="2:3">
      <c r="B2071" s="156">
        <v>43255</v>
      </c>
      <c r="C2071" s="157">
        <v>14604.11</v>
      </c>
    </row>
    <row r="2072" spans="2:3">
      <c r="B2072" s="156">
        <v>43252</v>
      </c>
      <c r="C2072" s="157">
        <v>14695.4</v>
      </c>
    </row>
    <row r="2073" spans="2:3">
      <c r="B2073" s="156">
        <v>43251</v>
      </c>
      <c r="C2073" s="157">
        <v>14750.26</v>
      </c>
    </row>
    <row r="2074" spans="2:3">
      <c r="B2074" s="156">
        <v>43250</v>
      </c>
      <c r="C2074" s="157">
        <v>14568.75</v>
      </c>
    </row>
    <row r="2075" spans="2:3">
      <c r="B2075" s="156">
        <v>43249</v>
      </c>
      <c r="C2075" s="157">
        <v>14594.78</v>
      </c>
    </row>
    <row r="2076" spans="2:3">
      <c r="B2076" s="156">
        <v>43248</v>
      </c>
      <c r="C2076" s="157">
        <v>14670.76</v>
      </c>
    </row>
    <row r="2077" spans="2:3">
      <c r="B2077" s="156">
        <v>43245</v>
      </c>
      <c r="C2077" s="157">
        <v>14556.18</v>
      </c>
    </row>
    <row r="2078" spans="2:3">
      <c r="B2078" s="156">
        <v>43244</v>
      </c>
      <c r="C2078" s="157">
        <v>14415.65</v>
      </c>
    </row>
    <row r="2079" spans="2:3">
      <c r="B2079" s="156">
        <v>43243</v>
      </c>
      <c r="C2079" s="157">
        <v>14301.15</v>
      </c>
    </row>
    <row r="2080" spans="2:3">
      <c r="B2080" s="156">
        <v>43242</v>
      </c>
      <c r="C2080" s="157">
        <v>14446.97</v>
      </c>
    </row>
    <row r="2081" spans="2:3">
      <c r="B2081" s="156">
        <v>43241</v>
      </c>
      <c r="C2081" s="157">
        <v>14419.57</v>
      </c>
    </row>
    <row r="2082" spans="2:3">
      <c r="B2082" s="156">
        <v>43238</v>
      </c>
      <c r="C2082" s="157">
        <v>14528.82</v>
      </c>
    </row>
    <row r="2083" spans="2:3">
      <c r="B2083" s="156">
        <v>43237</v>
      </c>
      <c r="C2083" s="157">
        <v>14647.15</v>
      </c>
    </row>
    <row r="2084" spans="2:3">
      <c r="B2084" s="156">
        <v>43236</v>
      </c>
      <c r="C2084" s="157">
        <v>14727.26</v>
      </c>
    </row>
    <row r="2085" spans="2:3">
      <c r="B2085" s="156">
        <v>43235</v>
      </c>
      <c r="C2085" s="157">
        <v>14810.54</v>
      </c>
    </row>
    <row r="2086" spans="2:3">
      <c r="B2086" s="156">
        <v>43234</v>
      </c>
      <c r="C2086" s="157">
        <v>14817.01</v>
      </c>
    </row>
    <row r="2087" spans="2:3">
      <c r="B2087" s="156">
        <v>43231</v>
      </c>
      <c r="C2087" s="157">
        <v>14816.93</v>
      </c>
    </row>
    <row r="2088" spans="2:3">
      <c r="B2088" s="156">
        <v>43230</v>
      </c>
      <c r="C2088" s="157">
        <v>14693.55</v>
      </c>
    </row>
    <row r="2089" spans="2:3">
      <c r="B2089" s="156">
        <v>43229</v>
      </c>
      <c r="C2089" s="157">
        <v>14728.03</v>
      </c>
    </row>
    <row r="2090" spans="2:3">
      <c r="B2090" s="156">
        <v>43228</v>
      </c>
      <c r="C2090" s="157">
        <v>14694.93</v>
      </c>
    </row>
    <row r="2091" spans="2:3">
      <c r="B2091" s="156">
        <v>43227</v>
      </c>
      <c r="C2091" s="157">
        <v>14691.72</v>
      </c>
    </row>
    <row r="2092" spans="2:3">
      <c r="B2092" s="156">
        <v>43224</v>
      </c>
      <c r="C2092" s="157">
        <v>14558.42</v>
      </c>
    </row>
    <row r="2093" spans="2:3">
      <c r="B2093" s="156">
        <v>43223</v>
      </c>
      <c r="C2093" s="157">
        <v>14642.62</v>
      </c>
    </row>
    <row r="2094" spans="2:3">
      <c r="B2094" s="156">
        <v>43222</v>
      </c>
      <c r="C2094" s="157">
        <v>14695.26</v>
      </c>
    </row>
    <row r="2095" spans="2:3">
      <c r="B2095" s="156">
        <v>43220</v>
      </c>
      <c r="C2095" s="157">
        <v>14723.32</v>
      </c>
    </row>
    <row r="2096" spans="2:3">
      <c r="B2096" s="156">
        <v>43217</v>
      </c>
      <c r="C2096" s="157">
        <v>14658.83</v>
      </c>
    </row>
    <row r="2097" spans="2:3">
      <c r="B2097" s="156">
        <v>43216</v>
      </c>
      <c r="C2097" s="157">
        <v>14556.65</v>
      </c>
    </row>
    <row r="2098" spans="2:3">
      <c r="B2098" s="156">
        <v>43215</v>
      </c>
      <c r="C2098" s="157">
        <v>14491.88</v>
      </c>
    </row>
    <row r="2099" spans="2:3">
      <c r="B2099" s="156">
        <v>43214</v>
      </c>
      <c r="C2099" s="157">
        <v>14551.96</v>
      </c>
    </row>
    <row r="2100" spans="2:3">
      <c r="B2100" s="156">
        <v>43213</v>
      </c>
      <c r="C2100" s="157">
        <v>14511.28</v>
      </c>
    </row>
    <row r="2101" spans="2:3">
      <c r="B2101" s="156">
        <v>43210</v>
      </c>
      <c r="C2101" s="157">
        <v>14482.97</v>
      </c>
    </row>
    <row r="2102" spans="2:3">
      <c r="B2102" s="156">
        <v>43209</v>
      </c>
      <c r="C2102" s="157">
        <v>14484.7</v>
      </c>
    </row>
    <row r="2103" spans="2:3">
      <c r="B2103" s="156">
        <v>43208</v>
      </c>
      <c r="C2103" s="157">
        <v>14431.07</v>
      </c>
    </row>
    <row r="2104" spans="2:3">
      <c r="B2104" s="156">
        <v>43207</v>
      </c>
      <c r="C2104" s="157">
        <v>14461.97</v>
      </c>
    </row>
    <row r="2105" spans="2:3">
      <c r="B2105" s="156">
        <v>43206</v>
      </c>
      <c r="C2105" s="157">
        <v>14434.05</v>
      </c>
    </row>
    <row r="2106" spans="2:3">
      <c r="B2106" s="156">
        <v>43203</v>
      </c>
      <c r="C2106" s="157">
        <v>14368.56</v>
      </c>
    </row>
    <row r="2107" spans="2:3">
      <c r="B2107" s="156">
        <v>43202</v>
      </c>
      <c r="C2107" s="157">
        <v>14338.46</v>
      </c>
    </row>
    <row r="2108" spans="2:3">
      <c r="B2108" s="156">
        <v>43201</v>
      </c>
      <c r="C2108" s="157">
        <v>14281.6</v>
      </c>
    </row>
    <row r="2109" spans="2:3">
      <c r="B2109" s="156">
        <v>43200</v>
      </c>
      <c r="C2109" s="157">
        <v>14261.15</v>
      </c>
    </row>
    <row r="2110" spans="2:3">
      <c r="B2110" s="156">
        <v>43199</v>
      </c>
      <c r="C2110" s="157">
        <v>14229.77</v>
      </c>
    </row>
    <row r="2111" spans="2:3">
      <c r="B2111" s="156">
        <v>43196</v>
      </c>
      <c r="C2111" s="157">
        <v>14164.28</v>
      </c>
    </row>
    <row r="2112" spans="2:3">
      <c r="B2112" s="156">
        <v>43195</v>
      </c>
      <c r="C2112" s="157">
        <v>14155.47</v>
      </c>
    </row>
    <row r="2113" spans="2:3">
      <c r="B2113" s="156">
        <v>43194</v>
      </c>
      <c r="C2113" s="157">
        <v>13885.72</v>
      </c>
    </row>
    <row r="2114" spans="2:3">
      <c r="B2114" s="156">
        <v>43193</v>
      </c>
      <c r="C2114" s="157">
        <v>14045.55</v>
      </c>
    </row>
    <row r="2115" spans="2:3">
      <c r="B2115" s="156">
        <v>43192</v>
      </c>
      <c r="C2115" s="157">
        <v>14000.07</v>
      </c>
    </row>
    <row r="2116" spans="2:3">
      <c r="B2116" s="156">
        <v>43187</v>
      </c>
      <c r="C2116" s="157">
        <v>13865.57</v>
      </c>
    </row>
    <row r="2117" spans="2:3">
      <c r="B2117" s="156">
        <v>43186</v>
      </c>
      <c r="C2117" s="157">
        <v>13962.15</v>
      </c>
    </row>
    <row r="2118" spans="2:3">
      <c r="B2118" s="156">
        <v>43185</v>
      </c>
      <c r="C2118" s="157">
        <v>13888.82</v>
      </c>
    </row>
    <row r="2119" spans="2:3">
      <c r="B2119" s="156">
        <v>43182</v>
      </c>
      <c r="C2119" s="157">
        <v>13706.99</v>
      </c>
    </row>
    <row r="2120" spans="2:3">
      <c r="B2120" s="156">
        <v>43181</v>
      </c>
      <c r="C2120" s="157">
        <v>13867.01</v>
      </c>
    </row>
    <row r="2121" spans="2:3">
      <c r="B2121" s="156">
        <v>43180</v>
      </c>
      <c r="C2121" s="157">
        <v>13920.51</v>
      </c>
    </row>
    <row r="2122" spans="2:3">
      <c r="B2122" s="156">
        <v>43179</v>
      </c>
      <c r="C2122" s="157">
        <v>13878.17</v>
      </c>
    </row>
    <row r="2123" spans="2:3">
      <c r="B2123" s="156">
        <v>43178</v>
      </c>
      <c r="C2123" s="157">
        <v>13822.99</v>
      </c>
    </row>
    <row r="2124" spans="2:3">
      <c r="B2124" s="156">
        <v>43175</v>
      </c>
      <c r="C2124" s="157">
        <v>13961.14</v>
      </c>
    </row>
    <row r="2125" spans="2:3">
      <c r="B2125" s="156">
        <v>43174</v>
      </c>
      <c r="C2125" s="157">
        <v>14179.36</v>
      </c>
    </row>
    <row r="2126" spans="2:3">
      <c r="B2126" s="156">
        <v>43173</v>
      </c>
      <c r="C2126" s="157">
        <v>14248.81</v>
      </c>
    </row>
    <row r="2127" spans="2:3">
      <c r="B2127" s="156">
        <v>43172</v>
      </c>
      <c r="C2127" s="157">
        <v>14270.64</v>
      </c>
    </row>
    <row r="2128" spans="2:3">
      <c r="B2128" s="156">
        <v>43171</v>
      </c>
      <c r="C2128" s="157">
        <v>14260.92</v>
      </c>
    </row>
    <row r="2129" spans="2:3">
      <c r="B2129" s="156">
        <v>43168</v>
      </c>
      <c r="C2129" s="157">
        <v>13994.68</v>
      </c>
    </row>
    <row r="2130" spans="2:3">
      <c r="B2130" s="156">
        <v>43167</v>
      </c>
      <c r="C2130" s="157">
        <v>14016.3</v>
      </c>
    </row>
    <row r="2131" spans="2:3">
      <c r="B2131" s="156">
        <v>43166</v>
      </c>
      <c r="C2131" s="157">
        <v>13895.27</v>
      </c>
    </row>
    <row r="2132" spans="2:3">
      <c r="B2132" s="156">
        <v>43165</v>
      </c>
      <c r="C2132" s="157">
        <v>14025.34</v>
      </c>
    </row>
    <row r="2133" spans="2:3">
      <c r="B2133" s="156">
        <v>43164</v>
      </c>
      <c r="C2133" s="157">
        <v>14175.32</v>
      </c>
    </row>
    <row r="2134" spans="2:3">
      <c r="B2134" s="156">
        <v>43160</v>
      </c>
      <c r="C2134" s="157">
        <v>14311.52</v>
      </c>
    </row>
    <row r="2135" spans="2:3">
      <c r="B2135" s="156">
        <v>43159</v>
      </c>
      <c r="C2135" s="157">
        <v>14358.71</v>
      </c>
    </row>
    <row r="2136" spans="2:3">
      <c r="B2136" s="156">
        <v>43158</v>
      </c>
      <c r="C2136" s="157">
        <v>14438.9</v>
      </c>
    </row>
    <row r="2137" spans="2:3">
      <c r="B2137" s="156">
        <v>43157</v>
      </c>
      <c r="C2137" s="157">
        <v>14477.62</v>
      </c>
    </row>
    <row r="2138" spans="2:3">
      <c r="B2138" s="156">
        <v>43154</v>
      </c>
      <c r="C2138" s="157">
        <v>14352.4</v>
      </c>
    </row>
    <row r="2139" spans="2:3">
      <c r="B2139" s="156">
        <v>43153</v>
      </c>
      <c r="C2139" s="157">
        <v>14204.17</v>
      </c>
    </row>
    <row r="2140" spans="2:3">
      <c r="B2140" s="156">
        <v>43152</v>
      </c>
      <c r="C2140" s="157">
        <v>14220.48</v>
      </c>
    </row>
    <row r="2141" spans="2:3">
      <c r="B2141" s="156">
        <v>43151</v>
      </c>
      <c r="C2141" s="157">
        <v>14169.77</v>
      </c>
    </row>
    <row r="2142" spans="2:3">
      <c r="B2142" s="156">
        <v>43150</v>
      </c>
      <c r="C2142" s="157">
        <v>14194.28</v>
      </c>
    </row>
    <row r="2143" spans="2:3">
      <c r="B2143" s="156">
        <v>43147</v>
      </c>
      <c r="C2143" s="157">
        <v>14295.41</v>
      </c>
    </row>
    <row r="2144" spans="2:3">
      <c r="B2144" s="156">
        <v>43146</v>
      </c>
      <c r="C2144" s="157">
        <v>14422.85</v>
      </c>
    </row>
    <row r="2145" spans="2:3">
      <c r="B2145" s="156">
        <v>43145</v>
      </c>
      <c r="C2145" s="157">
        <v>14359.35</v>
      </c>
    </row>
    <row r="2146" spans="2:3">
      <c r="B2146" s="156">
        <v>43143</v>
      </c>
      <c r="C2146" s="157">
        <v>14412.46</v>
      </c>
    </row>
    <row r="2147" spans="2:3">
      <c r="B2147" s="156">
        <v>43140</v>
      </c>
      <c r="C2147" s="157">
        <v>14296.5</v>
      </c>
    </row>
    <row r="2148" spans="2:3">
      <c r="B2148" s="156">
        <v>43139</v>
      </c>
      <c r="C2148" s="157">
        <v>14463.16</v>
      </c>
    </row>
    <row r="2149" spans="2:3">
      <c r="B2149" s="156">
        <v>43138</v>
      </c>
      <c r="C2149" s="157">
        <v>14317.57</v>
      </c>
    </row>
    <row r="2150" spans="2:3">
      <c r="B2150" s="156">
        <v>43137</v>
      </c>
      <c r="C2150" s="157">
        <v>14344.02</v>
      </c>
    </row>
    <row r="2151" spans="2:3">
      <c r="B2151" s="156">
        <v>43136</v>
      </c>
      <c r="C2151" s="157">
        <v>14574</v>
      </c>
    </row>
    <row r="2152" spans="2:3">
      <c r="B2152" s="156">
        <v>43133</v>
      </c>
      <c r="C2152" s="157">
        <v>14702.49</v>
      </c>
    </row>
    <row r="2153" spans="2:3">
      <c r="B2153" s="156">
        <v>43132</v>
      </c>
      <c r="C2153" s="157">
        <v>15052.72</v>
      </c>
    </row>
    <row r="2154" spans="2:3">
      <c r="B2154" s="156">
        <v>43131</v>
      </c>
      <c r="C2154" s="157">
        <v>15065.82</v>
      </c>
    </row>
    <row r="2155" spans="2:3">
      <c r="B2155" s="156">
        <v>43130</v>
      </c>
      <c r="C2155" s="157">
        <v>15095.42</v>
      </c>
    </row>
    <row r="2156" spans="2:3">
      <c r="B2156" s="156">
        <v>43129</v>
      </c>
      <c r="C2156" s="157">
        <v>15204.42</v>
      </c>
    </row>
    <row r="2157" spans="2:3">
      <c r="B2157" s="156">
        <v>43125</v>
      </c>
      <c r="C2157" s="157">
        <v>15121</v>
      </c>
    </row>
    <row r="2158" spans="2:3">
      <c r="B2158" s="156">
        <v>43124</v>
      </c>
      <c r="C2158" s="157">
        <v>15143.35</v>
      </c>
    </row>
    <row r="2159" spans="2:3">
      <c r="B2159" s="156">
        <v>43123</v>
      </c>
      <c r="C2159" s="157">
        <v>15140.24</v>
      </c>
    </row>
    <row r="2160" spans="2:3">
      <c r="B2160" s="156">
        <v>43122</v>
      </c>
      <c r="C2160" s="157">
        <v>14979.72</v>
      </c>
    </row>
    <row r="2161" spans="2:3">
      <c r="B2161" s="156">
        <v>43119</v>
      </c>
      <c r="C2161" s="157">
        <v>14880.8</v>
      </c>
    </row>
    <row r="2162" spans="2:3">
      <c r="B2162" s="156">
        <v>43118</v>
      </c>
      <c r="C2162" s="157">
        <v>14774.67</v>
      </c>
    </row>
    <row r="2163" spans="2:3">
      <c r="B2163" s="156">
        <v>43117</v>
      </c>
      <c r="C2163" s="157">
        <v>14734.07</v>
      </c>
    </row>
    <row r="2164" spans="2:3">
      <c r="B2164" s="156">
        <v>43116</v>
      </c>
      <c r="C2164" s="157">
        <v>14613.79</v>
      </c>
    </row>
    <row r="2165" spans="2:3">
      <c r="B2165" s="156">
        <v>43115</v>
      </c>
      <c r="C2165" s="157">
        <v>14669.9</v>
      </c>
    </row>
    <row r="2166" spans="2:3">
      <c r="B2166" s="156">
        <v>43112</v>
      </c>
      <c r="C2166" s="157">
        <v>14587.54</v>
      </c>
    </row>
    <row r="2167" spans="2:3">
      <c r="B2167" s="156">
        <v>43111</v>
      </c>
      <c r="C2167" s="157">
        <v>14546.49</v>
      </c>
    </row>
    <row r="2168" spans="2:3">
      <c r="B2168" s="156">
        <v>43110</v>
      </c>
      <c r="C2168" s="157">
        <v>14520.56</v>
      </c>
    </row>
    <row r="2169" spans="2:3">
      <c r="B2169" s="156">
        <v>43109</v>
      </c>
      <c r="C2169" s="157">
        <v>14527.15</v>
      </c>
    </row>
    <row r="2170" spans="2:3">
      <c r="B2170" s="156">
        <v>43108</v>
      </c>
      <c r="C2170" s="157">
        <v>14508.81</v>
      </c>
    </row>
    <row r="2171" spans="2:3">
      <c r="B2171" s="156">
        <v>43105</v>
      </c>
      <c r="C2171" s="157">
        <v>14420.42</v>
      </c>
    </row>
    <row r="2172" spans="2:3">
      <c r="B2172" s="156">
        <v>43104</v>
      </c>
      <c r="C2172" s="157">
        <v>14346.59</v>
      </c>
    </row>
    <row r="2173" spans="2:3">
      <c r="B2173" s="156">
        <v>43103</v>
      </c>
      <c r="C2173" s="157">
        <v>14262.48</v>
      </c>
    </row>
    <row r="2174" spans="2:3">
      <c r="B2174" s="156">
        <v>43102</v>
      </c>
      <c r="C2174" s="157">
        <v>14261.1</v>
      </c>
    </row>
    <row r="2175" spans="2:3">
      <c r="B2175" s="156">
        <v>43101</v>
      </c>
      <c r="C2175" s="157">
        <v>14252.02</v>
      </c>
    </row>
    <row r="2176" spans="2:3">
      <c r="B2176" s="156">
        <v>43098</v>
      </c>
      <c r="C2176" s="157">
        <v>14381.92</v>
      </c>
    </row>
    <row r="2177" spans="2:3">
      <c r="B2177" s="156">
        <v>43097</v>
      </c>
      <c r="C2177" s="157">
        <v>14309.85</v>
      </c>
    </row>
    <row r="2178" spans="2:3">
      <c r="B2178" s="156">
        <v>43096</v>
      </c>
      <c r="C2178" s="157">
        <v>14327.42</v>
      </c>
    </row>
    <row r="2179" spans="2:3">
      <c r="B2179" s="156">
        <v>43095</v>
      </c>
      <c r="C2179" s="157">
        <v>14383.04</v>
      </c>
    </row>
    <row r="2180" spans="2:3">
      <c r="B2180" s="156">
        <v>43091</v>
      </c>
      <c r="C2180" s="157">
        <v>14330.49</v>
      </c>
    </row>
    <row r="2181" spans="2:3">
      <c r="B2181" s="156">
        <v>43090</v>
      </c>
      <c r="C2181" s="157">
        <v>14258.49</v>
      </c>
    </row>
    <row r="2182" spans="2:3">
      <c r="B2182" s="156">
        <v>43089</v>
      </c>
      <c r="C2182" s="157">
        <v>14263.81</v>
      </c>
    </row>
    <row r="2183" spans="2:3">
      <c r="B2183" s="156">
        <v>43088</v>
      </c>
      <c r="C2183" s="157">
        <v>14289.76</v>
      </c>
    </row>
    <row r="2184" spans="2:3">
      <c r="B2184" s="156">
        <v>43087</v>
      </c>
      <c r="C2184" s="157">
        <v>14188.11</v>
      </c>
    </row>
    <row r="2185" spans="2:3">
      <c r="B2185" s="156">
        <v>43084</v>
      </c>
      <c r="C2185" s="157">
        <v>14112.3</v>
      </c>
    </row>
    <row r="2186" spans="2:3">
      <c r="B2186" s="156">
        <v>43083</v>
      </c>
      <c r="C2186" s="157">
        <v>14001.49</v>
      </c>
    </row>
    <row r="2187" spans="2:3">
      <c r="B2187" s="156">
        <v>43082</v>
      </c>
      <c r="C2187" s="157">
        <v>13920.69</v>
      </c>
    </row>
    <row r="2188" spans="2:3">
      <c r="B2188" s="156">
        <v>43081</v>
      </c>
      <c r="C2188" s="157">
        <v>13985.11</v>
      </c>
    </row>
    <row r="2189" spans="2:3">
      <c r="B2189" s="156">
        <v>43080</v>
      </c>
      <c r="C2189" s="157">
        <v>14097.29</v>
      </c>
    </row>
    <row r="2190" spans="2:3">
      <c r="B2190" s="156">
        <v>43077</v>
      </c>
      <c r="C2190" s="157">
        <v>14019.95</v>
      </c>
    </row>
    <row r="2191" spans="2:3">
      <c r="B2191" s="156">
        <v>43076</v>
      </c>
      <c r="C2191" s="157">
        <v>13884.82</v>
      </c>
    </row>
    <row r="2192" spans="2:3">
      <c r="B2192" s="156">
        <v>43075</v>
      </c>
      <c r="C2192" s="157">
        <v>13717.36</v>
      </c>
    </row>
    <row r="2193" spans="2:3">
      <c r="B2193" s="156">
        <v>43074</v>
      </c>
      <c r="C2193" s="157">
        <v>13818.67</v>
      </c>
    </row>
    <row r="2194" spans="2:3">
      <c r="B2194" s="156">
        <v>43073</v>
      </c>
      <c r="C2194" s="157">
        <v>13831.66</v>
      </c>
    </row>
    <row r="2195" spans="2:3">
      <c r="B2195" s="156">
        <v>43070</v>
      </c>
      <c r="C2195" s="157">
        <v>13823.52</v>
      </c>
    </row>
    <row r="2196" spans="2:3">
      <c r="B2196" s="156">
        <v>43069</v>
      </c>
      <c r="C2196" s="157">
        <v>13966.58</v>
      </c>
    </row>
    <row r="2197" spans="2:3">
      <c r="B2197" s="156">
        <v>43068</v>
      </c>
      <c r="C2197" s="157">
        <v>14150.6</v>
      </c>
    </row>
    <row r="2198" spans="2:3">
      <c r="B2198" s="156">
        <v>43067</v>
      </c>
      <c r="C2198" s="157">
        <v>14162.79</v>
      </c>
    </row>
    <row r="2199" spans="2:3">
      <c r="B2199" s="156">
        <v>43066</v>
      </c>
      <c r="C2199" s="157">
        <v>14202.82</v>
      </c>
    </row>
    <row r="2200" spans="2:3">
      <c r="B2200" s="156">
        <v>43063</v>
      </c>
      <c r="C2200" s="157">
        <v>14189.41</v>
      </c>
    </row>
    <row r="2201" spans="2:3">
      <c r="B2201" s="156">
        <v>43062</v>
      </c>
      <c r="C2201" s="157">
        <v>14133.47</v>
      </c>
    </row>
    <row r="2202" spans="2:3">
      <c r="B2202" s="156">
        <v>43061</v>
      </c>
      <c r="C2202" s="157">
        <v>14124.68</v>
      </c>
    </row>
    <row r="2203" spans="2:3">
      <c r="B2203" s="156">
        <v>43060</v>
      </c>
      <c r="C2203" s="157">
        <v>14103.64</v>
      </c>
    </row>
    <row r="2204" spans="2:3">
      <c r="B2204" s="156">
        <v>43059</v>
      </c>
      <c r="C2204" s="157">
        <v>14065.05</v>
      </c>
    </row>
    <row r="2205" spans="2:3">
      <c r="B2205" s="156">
        <v>43056</v>
      </c>
      <c r="C2205" s="157">
        <v>14044.32</v>
      </c>
    </row>
    <row r="2206" spans="2:3">
      <c r="B2206" s="156">
        <v>43055</v>
      </c>
      <c r="C2206" s="157">
        <v>13950.33</v>
      </c>
    </row>
    <row r="2207" spans="2:3">
      <c r="B2207" s="156">
        <v>43054</v>
      </c>
      <c r="C2207" s="157">
        <v>13818.25</v>
      </c>
    </row>
    <row r="2208" spans="2:3">
      <c r="B2208" s="156">
        <v>43053</v>
      </c>
      <c r="C2208" s="157">
        <v>13911.87</v>
      </c>
    </row>
    <row r="2209" spans="2:3">
      <c r="B2209" s="156">
        <v>43052</v>
      </c>
      <c r="C2209" s="157">
        <v>13964.26</v>
      </c>
    </row>
    <row r="2210" spans="2:3">
      <c r="B2210" s="156">
        <v>43049</v>
      </c>
      <c r="C2210" s="157">
        <v>14096.45</v>
      </c>
    </row>
    <row r="2211" spans="2:3">
      <c r="B2211" s="156">
        <v>43048</v>
      </c>
      <c r="C2211" s="157">
        <v>14078.98</v>
      </c>
    </row>
    <row r="2212" spans="2:3">
      <c r="B2212" s="156">
        <v>43047</v>
      </c>
      <c r="C2212" s="157">
        <v>14071.02</v>
      </c>
    </row>
    <row r="2213" spans="2:3">
      <c r="B2213" s="156">
        <v>43046</v>
      </c>
      <c r="C2213" s="157">
        <v>14135.23</v>
      </c>
    </row>
    <row r="2214" spans="2:3">
      <c r="B2214" s="156">
        <v>43045</v>
      </c>
      <c r="C2214" s="157">
        <v>14274.03</v>
      </c>
    </row>
    <row r="2215" spans="2:3">
      <c r="B2215" s="156">
        <v>43042</v>
      </c>
      <c r="C2215" s="157">
        <v>14274.97</v>
      </c>
    </row>
    <row r="2216" spans="2:3">
      <c r="B2216" s="156">
        <v>43041</v>
      </c>
      <c r="C2216" s="157">
        <v>14232.79</v>
      </c>
    </row>
    <row r="2217" spans="2:3">
      <c r="B2217" s="156">
        <v>43040</v>
      </c>
      <c r="C2217" s="157">
        <v>14255.58</v>
      </c>
    </row>
    <row r="2218" spans="2:3">
      <c r="B2218" s="156">
        <v>43039</v>
      </c>
      <c r="C2218" s="157">
        <v>14108.55</v>
      </c>
    </row>
    <row r="2219" spans="2:3">
      <c r="B2219" s="156">
        <v>43038</v>
      </c>
      <c r="C2219" s="157">
        <v>14137.62</v>
      </c>
    </row>
    <row r="2220" spans="2:3">
      <c r="B2220" s="156">
        <v>43035</v>
      </c>
      <c r="C2220" s="157">
        <v>14082.21</v>
      </c>
    </row>
    <row r="2221" spans="2:3">
      <c r="B2221" s="156">
        <v>43034</v>
      </c>
      <c r="C2221" s="157">
        <v>14110.5</v>
      </c>
    </row>
    <row r="2222" spans="2:3">
      <c r="B2222" s="156">
        <v>43033</v>
      </c>
      <c r="C2222" s="157">
        <v>14044.44</v>
      </c>
    </row>
    <row r="2223" spans="2:3">
      <c r="B2223" s="156">
        <v>43032</v>
      </c>
      <c r="C2223" s="157">
        <v>13923.61</v>
      </c>
    </row>
    <row r="2224" spans="2:3">
      <c r="B2224" s="156">
        <v>43031</v>
      </c>
      <c r="C2224" s="157">
        <v>13892.48</v>
      </c>
    </row>
    <row r="2225" spans="2:3">
      <c r="B2225" s="156">
        <v>43027</v>
      </c>
      <c r="C2225" s="157">
        <v>13840.24</v>
      </c>
    </row>
    <row r="2226" spans="2:3">
      <c r="B2226" s="156">
        <v>43026</v>
      </c>
      <c r="C2226" s="157">
        <v>13927.92</v>
      </c>
    </row>
    <row r="2227" spans="2:3">
      <c r="B2227" s="156">
        <v>43025</v>
      </c>
      <c r="C2227" s="157">
        <v>13960.09</v>
      </c>
    </row>
    <row r="2228" spans="2:3">
      <c r="B2228" s="156">
        <v>43024</v>
      </c>
      <c r="C2228" s="157">
        <v>13955.22</v>
      </c>
    </row>
    <row r="2229" spans="2:3">
      <c r="B2229" s="156">
        <v>43021</v>
      </c>
      <c r="C2229" s="157">
        <v>13868.7</v>
      </c>
    </row>
    <row r="2230" spans="2:3">
      <c r="B2230" s="156">
        <v>43020</v>
      </c>
      <c r="C2230" s="157">
        <v>13771.84</v>
      </c>
    </row>
    <row r="2231" spans="2:3">
      <c r="B2231" s="156">
        <v>43019</v>
      </c>
      <c r="C2231" s="157">
        <v>13619.62</v>
      </c>
    </row>
    <row r="2232" spans="2:3">
      <c r="B2232" s="156">
        <v>43018</v>
      </c>
      <c r="C2232" s="157">
        <v>13663.44</v>
      </c>
    </row>
    <row r="2233" spans="2:3">
      <c r="B2233" s="156">
        <v>43017</v>
      </c>
      <c r="C2233" s="157">
        <v>13625</v>
      </c>
    </row>
    <row r="2234" spans="2:3">
      <c r="B2234" s="156">
        <v>43014</v>
      </c>
      <c r="C2234" s="157">
        <v>13612.63</v>
      </c>
    </row>
    <row r="2235" spans="2:3">
      <c r="B2235" s="156">
        <v>43013</v>
      </c>
      <c r="C2235" s="157">
        <v>13488.48</v>
      </c>
    </row>
    <row r="2236" spans="2:3">
      <c r="B2236" s="156">
        <v>43012</v>
      </c>
      <c r="C2236" s="157">
        <v>13524.27</v>
      </c>
    </row>
    <row r="2237" spans="2:3">
      <c r="B2237" s="156">
        <v>43011</v>
      </c>
      <c r="C2237" s="157">
        <v>13448.66</v>
      </c>
    </row>
    <row r="2238" spans="2:3">
      <c r="B2238" s="156">
        <v>43007</v>
      </c>
      <c r="C2238" s="157">
        <v>13351.99</v>
      </c>
    </row>
    <row r="2239" spans="2:3">
      <c r="B2239" s="156">
        <v>43006</v>
      </c>
      <c r="C2239" s="157">
        <v>13325.16</v>
      </c>
    </row>
    <row r="2240" spans="2:3">
      <c r="B2240" s="156">
        <v>43005</v>
      </c>
      <c r="C2240" s="157">
        <v>13279.85</v>
      </c>
    </row>
    <row r="2241" spans="2:3">
      <c r="B2241" s="156">
        <v>43004</v>
      </c>
      <c r="C2241" s="157">
        <v>13465.07</v>
      </c>
    </row>
    <row r="2242" spans="2:3">
      <c r="B2242" s="156">
        <v>43003</v>
      </c>
      <c r="C2242" s="157">
        <v>13466.53</v>
      </c>
    </row>
    <row r="2243" spans="2:3">
      <c r="B2243" s="156">
        <v>43000</v>
      </c>
      <c r="C2243" s="157">
        <v>13591.79</v>
      </c>
    </row>
    <row r="2244" spans="2:3">
      <c r="B2244" s="156">
        <v>42999</v>
      </c>
      <c r="C2244" s="157">
        <v>13806.6</v>
      </c>
    </row>
    <row r="2245" spans="2:3">
      <c r="B2245" s="156">
        <v>42998</v>
      </c>
      <c r="C2245" s="157">
        <v>13832.04</v>
      </c>
    </row>
    <row r="2246" spans="2:3">
      <c r="B2246" s="156">
        <v>42997</v>
      </c>
      <c r="C2246" s="157">
        <v>13840.78</v>
      </c>
    </row>
    <row r="2247" spans="2:3">
      <c r="B2247" s="156">
        <v>42996</v>
      </c>
      <c r="C2247" s="157">
        <v>13848.34</v>
      </c>
    </row>
    <row r="2248" spans="2:3">
      <c r="B2248" s="156">
        <v>42993</v>
      </c>
      <c r="C2248" s="157">
        <v>13754.62</v>
      </c>
    </row>
    <row r="2249" spans="2:3">
      <c r="B2249" s="156">
        <v>42992</v>
      </c>
      <c r="C2249" s="157">
        <v>13756.28</v>
      </c>
    </row>
    <row r="2250" spans="2:3">
      <c r="B2250" s="156">
        <v>42991</v>
      </c>
      <c r="C2250" s="157">
        <v>13746.3</v>
      </c>
    </row>
    <row r="2251" spans="2:3">
      <c r="B2251" s="156">
        <v>42990</v>
      </c>
      <c r="C2251" s="157">
        <v>13765.03</v>
      </c>
    </row>
    <row r="2252" spans="2:3">
      <c r="B2252" s="156">
        <v>42989</v>
      </c>
      <c r="C2252" s="157">
        <v>13646.37</v>
      </c>
    </row>
    <row r="2253" spans="2:3">
      <c r="B2253" s="156">
        <v>42986</v>
      </c>
      <c r="C2253" s="157">
        <v>13546.57</v>
      </c>
    </row>
    <row r="2254" spans="2:3">
      <c r="B2254" s="156">
        <v>42985</v>
      </c>
      <c r="C2254" s="157">
        <v>13539.91</v>
      </c>
    </row>
    <row r="2255" spans="2:3">
      <c r="B2255" s="156">
        <v>42984</v>
      </c>
      <c r="C2255" s="157">
        <v>13519.3</v>
      </c>
    </row>
    <row r="2256" spans="2:3">
      <c r="B2256" s="156">
        <v>42983</v>
      </c>
      <c r="C2256" s="157">
        <v>13568.38</v>
      </c>
    </row>
    <row r="2257" spans="2:3">
      <c r="B2257" s="156">
        <v>42982</v>
      </c>
      <c r="C2257" s="157">
        <v>13514.16</v>
      </c>
    </row>
    <row r="2258" spans="2:3">
      <c r="B2258" s="156">
        <v>42979</v>
      </c>
      <c r="C2258" s="157">
        <v>13598.09</v>
      </c>
    </row>
    <row r="2259" spans="2:3">
      <c r="B2259" s="156">
        <v>42978</v>
      </c>
      <c r="C2259" s="157">
        <v>13521.03</v>
      </c>
    </row>
    <row r="2260" spans="2:3">
      <c r="B2260" s="156">
        <v>42977</v>
      </c>
      <c r="C2260" s="157">
        <v>13474.73</v>
      </c>
    </row>
    <row r="2261" spans="2:3">
      <c r="B2261" s="156">
        <v>42976</v>
      </c>
      <c r="C2261" s="157">
        <v>13354.29</v>
      </c>
    </row>
    <row r="2262" spans="2:3">
      <c r="B2262" s="156">
        <v>42975</v>
      </c>
      <c r="C2262" s="157">
        <v>13513.48</v>
      </c>
    </row>
    <row r="2263" spans="2:3">
      <c r="B2263" s="156">
        <v>42971</v>
      </c>
      <c r="C2263" s="157">
        <v>13437.45</v>
      </c>
    </row>
    <row r="2264" spans="2:3">
      <c r="B2264" s="156">
        <v>42970</v>
      </c>
      <c r="C2264" s="157">
        <v>13427.67</v>
      </c>
    </row>
    <row r="2265" spans="2:3">
      <c r="B2265" s="156">
        <v>42969</v>
      </c>
      <c r="C2265" s="157">
        <v>13309.14</v>
      </c>
    </row>
    <row r="2266" spans="2:3">
      <c r="B2266" s="156">
        <v>42968</v>
      </c>
      <c r="C2266" s="157">
        <v>13293.88</v>
      </c>
    </row>
    <row r="2267" spans="2:3">
      <c r="B2267" s="156">
        <v>42965</v>
      </c>
      <c r="C2267" s="157">
        <v>13407.07</v>
      </c>
    </row>
    <row r="2268" spans="2:3">
      <c r="B2268" s="156">
        <v>42964</v>
      </c>
      <c r="C2268" s="157">
        <v>13497.69</v>
      </c>
    </row>
    <row r="2269" spans="2:3">
      <c r="B2269" s="156">
        <v>42963</v>
      </c>
      <c r="C2269" s="157">
        <v>13488.33</v>
      </c>
    </row>
    <row r="2270" spans="2:3">
      <c r="B2270" s="156">
        <v>42961</v>
      </c>
      <c r="C2270" s="157">
        <v>13347.75</v>
      </c>
    </row>
    <row r="2271" spans="2:3">
      <c r="B2271" s="156">
        <v>42958</v>
      </c>
      <c r="C2271" s="157">
        <v>13234.2</v>
      </c>
    </row>
    <row r="2272" spans="2:3">
      <c r="B2272" s="156">
        <v>42957</v>
      </c>
      <c r="C2272" s="157">
        <v>13377.05</v>
      </c>
    </row>
    <row r="2273" spans="2:3">
      <c r="B2273" s="156">
        <v>42956</v>
      </c>
      <c r="C2273" s="157">
        <v>13495.81</v>
      </c>
    </row>
    <row r="2274" spans="2:3">
      <c r="B2274" s="156">
        <v>42955</v>
      </c>
      <c r="C2274" s="157">
        <v>13591.81</v>
      </c>
    </row>
    <row r="2275" spans="2:3">
      <c r="B2275" s="156">
        <v>42954</v>
      </c>
      <c r="C2275" s="157">
        <v>13699.21</v>
      </c>
    </row>
    <row r="2276" spans="2:3">
      <c r="B2276" s="156">
        <v>42951</v>
      </c>
      <c r="C2276" s="157">
        <v>13711.47</v>
      </c>
    </row>
    <row r="2277" spans="2:3">
      <c r="B2277" s="156">
        <v>42950</v>
      </c>
      <c r="C2277" s="157">
        <v>13639.66</v>
      </c>
    </row>
    <row r="2278" spans="2:3">
      <c r="B2278" s="156">
        <v>42949</v>
      </c>
      <c r="C2278" s="157">
        <v>13731.63</v>
      </c>
    </row>
    <row r="2279" spans="2:3">
      <c r="B2279" s="156">
        <v>42948</v>
      </c>
      <c r="C2279" s="157">
        <v>13775.33</v>
      </c>
    </row>
    <row r="2280" spans="2:3">
      <c r="B2280" s="156">
        <v>42947</v>
      </c>
      <c r="C2280" s="157">
        <v>13724.19</v>
      </c>
    </row>
    <row r="2281" spans="2:3">
      <c r="B2281" s="156">
        <v>42944</v>
      </c>
      <c r="C2281" s="157">
        <v>13638.1</v>
      </c>
    </row>
    <row r="2282" spans="2:3">
      <c r="B2282" s="156">
        <v>42943</v>
      </c>
      <c r="C2282" s="157">
        <v>13646.34</v>
      </c>
    </row>
    <row r="2283" spans="2:3">
      <c r="B2283" s="156">
        <v>42942</v>
      </c>
      <c r="C2283" s="157">
        <v>13644.46</v>
      </c>
    </row>
    <row r="2284" spans="2:3">
      <c r="B2284" s="156">
        <v>42941</v>
      </c>
      <c r="C2284" s="157">
        <v>13567.66</v>
      </c>
    </row>
    <row r="2285" spans="2:3">
      <c r="B2285" s="156">
        <v>42940</v>
      </c>
      <c r="C2285" s="157">
        <v>13569.88</v>
      </c>
    </row>
    <row r="2286" spans="2:3">
      <c r="B2286" s="156">
        <v>42937</v>
      </c>
      <c r="C2286" s="157">
        <v>13498.25</v>
      </c>
    </row>
    <row r="2287" spans="2:3">
      <c r="B2287" s="156">
        <v>42936</v>
      </c>
      <c r="C2287" s="157">
        <v>13441.11</v>
      </c>
    </row>
    <row r="2288" spans="2:3">
      <c r="B2288" s="156">
        <v>42935</v>
      </c>
      <c r="C2288" s="157">
        <v>13473.52</v>
      </c>
    </row>
    <row r="2289" spans="2:3">
      <c r="B2289" s="156">
        <v>42934</v>
      </c>
      <c r="C2289" s="157">
        <v>13374.92</v>
      </c>
    </row>
    <row r="2290" spans="2:3">
      <c r="B2290" s="156">
        <v>42933</v>
      </c>
      <c r="C2290" s="157">
        <v>13494.64</v>
      </c>
    </row>
    <row r="2291" spans="2:3">
      <c r="B2291" s="156">
        <v>42930</v>
      </c>
      <c r="C2291" s="157">
        <v>13453.49</v>
      </c>
    </row>
    <row r="2292" spans="2:3">
      <c r="B2292" s="156">
        <v>42929</v>
      </c>
      <c r="C2292" s="157">
        <v>13452.22</v>
      </c>
    </row>
    <row r="2293" spans="2:3">
      <c r="B2293" s="156">
        <v>42928</v>
      </c>
      <c r="C2293" s="157">
        <v>13340.24</v>
      </c>
    </row>
    <row r="2294" spans="2:3">
      <c r="B2294" s="156">
        <v>42927</v>
      </c>
      <c r="C2294" s="157">
        <v>13299.17</v>
      </c>
    </row>
    <row r="2295" spans="2:3">
      <c r="B2295" s="156">
        <v>42926</v>
      </c>
      <c r="C2295" s="157">
        <v>13278.81</v>
      </c>
    </row>
    <row r="2296" spans="2:3">
      <c r="B2296" s="156">
        <v>42923</v>
      </c>
      <c r="C2296" s="157">
        <v>13135.35</v>
      </c>
    </row>
    <row r="2297" spans="2:3">
      <c r="B2297" s="156">
        <v>42922</v>
      </c>
      <c r="C2297" s="157">
        <v>13147.27</v>
      </c>
    </row>
    <row r="2298" spans="2:3">
      <c r="B2298" s="156">
        <v>42921</v>
      </c>
      <c r="C2298" s="157">
        <v>13091.36</v>
      </c>
    </row>
    <row r="2299" spans="2:3">
      <c r="B2299" s="156">
        <v>42920</v>
      </c>
      <c r="C2299" s="157">
        <v>13057.86</v>
      </c>
    </row>
    <row r="2300" spans="2:3">
      <c r="B2300" s="156">
        <v>42919</v>
      </c>
      <c r="C2300" s="157">
        <v>13060.15</v>
      </c>
    </row>
    <row r="2301" spans="2:3">
      <c r="B2301" s="156">
        <v>42916</v>
      </c>
      <c r="C2301" s="157">
        <v>12932.33</v>
      </c>
    </row>
    <row r="2302" spans="2:3">
      <c r="B2302" s="156">
        <v>42915</v>
      </c>
      <c r="C2302" s="157">
        <v>12908.13</v>
      </c>
    </row>
    <row r="2303" spans="2:3">
      <c r="B2303" s="156">
        <v>42914</v>
      </c>
      <c r="C2303" s="157">
        <v>12882.7</v>
      </c>
    </row>
    <row r="2304" spans="2:3">
      <c r="B2304" s="156">
        <v>42913</v>
      </c>
      <c r="C2304" s="157">
        <v>12910.01</v>
      </c>
    </row>
    <row r="2305" spans="2:3">
      <c r="B2305" s="156">
        <v>42909</v>
      </c>
      <c r="C2305" s="157">
        <v>12996.3</v>
      </c>
    </row>
    <row r="2306" spans="2:3">
      <c r="B2306" s="156">
        <v>42908</v>
      </c>
      <c r="C2306" s="157">
        <v>13070.98</v>
      </c>
    </row>
    <row r="2307" spans="2:3">
      <c r="B2307" s="156">
        <v>42907</v>
      </c>
      <c r="C2307" s="157">
        <v>13072.91</v>
      </c>
    </row>
    <row r="2308" spans="2:3">
      <c r="B2308" s="156">
        <v>42906</v>
      </c>
      <c r="C2308" s="157">
        <v>13072.98</v>
      </c>
    </row>
    <row r="2309" spans="2:3">
      <c r="B2309" s="156">
        <v>42905</v>
      </c>
      <c r="C2309" s="157">
        <v>13100.15</v>
      </c>
    </row>
    <row r="2310" spans="2:3">
      <c r="B2310" s="156">
        <v>42902</v>
      </c>
      <c r="C2310" s="157">
        <v>13005.86</v>
      </c>
    </row>
    <row r="2311" spans="2:3">
      <c r="B2311" s="156">
        <v>42901</v>
      </c>
      <c r="C2311" s="157">
        <v>12992.34</v>
      </c>
    </row>
    <row r="2312" spans="2:3">
      <c r="B2312" s="156">
        <v>42900</v>
      </c>
      <c r="C2312" s="157">
        <v>13045.44</v>
      </c>
    </row>
    <row r="2313" spans="2:3">
      <c r="B2313" s="156">
        <v>42899</v>
      </c>
      <c r="C2313" s="157">
        <v>13030.22</v>
      </c>
    </row>
    <row r="2314" spans="2:3">
      <c r="B2314" s="156">
        <v>42898</v>
      </c>
      <c r="C2314" s="157">
        <v>13037.83</v>
      </c>
    </row>
    <row r="2315" spans="2:3">
      <c r="B2315" s="156">
        <v>42895</v>
      </c>
      <c r="C2315" s="157">
        <v>13108.12</v>
      </c>
    </row>
    <row r="2316" spans="2:3">
      <c r="B2316" s="156">
        <v>42894</v>
      </c>
      <c r="C2316" s="157">
        <v>13079.63</v>
      </c>
    </row>
    <row r="2317" spans="2:3">
      <c r="B2317" s="156">
        <v>42893</v>
      </c>
      <c r="C2317" s="157">
        <v>13101.62</v>
      </c>
    </row>
    <row r="2318" spans="2:3">
      <c r="B2318" s="156">
        <v>42892</v>
      </c>
      <c r="C2318" s="157">
        <v>13065.33</v>
      </c>
    </row>
    <row r="2319" spans="2:3">
      <c r="B2319" s="156">
        <v>42891</v>
      </c>
      <c r="C2319" s="157">
        <v>13116.78</v>
      </c>
    </row>
    <row r="2320" spans="2:3">
      <c r="B2320" s="156">
        <v>42888</v>
      </c>
      <c r="C2320" s="157">
        <v>13072.98</v>
      </c>
    </row>
    <row r="2321" spans="2:3">
      <c r="B2321" s="156">
        <v>42887</v>
      </c>
      <c r="C2321" s="157">
        <v>13022.35</v>
      </c>
    </row>
    <row r="2322" spans="2:3">
      <c r="B2322" s="156">
        <v>42886</v>
      </c>
      <c r="C2322" s="157">
        <v>13018.69</v>
      </c>
    </row>
    <row r="2323" spans="2:3">
      <c r="B2323" s="156">
        <v>42885</v>
      </c>
      <c r="C2323" s="157">
        <v>13023.19</v>
      </c>
    </row>
    <row r="2324" spans="2:3">
      <c r="B2324" s="156">
        <v>42884</v>
      </c>
      <c r="C2324" s="157">
        <v>12996.61</v>
      </c>
    </row>
    <row r="2325" spans="2:3">
      <c r="B2325" s="156">
        <v>42881</v>
      </c>
      <c r="C2325" s="157">
        <v>12981.79</v>
      </c>
    </row>
    <row r="2326" spans="2:3">
      <c r="B2326" s="156">
        <v>42880</v>
      </c>
      <c r="C2326" s="157">
        <v>12863.38</v>
      </c>
    </row>
    <row r="2327" spans="2:3">
      <c r="B2327" s="156">
        <v>42879</v>
      </c>
      <c r="C2327" s="157">
        <v>12661.62</v>
      </c>
    </row>
    <row r="2328" spans="2:3">
      <c r="B2328" s="156">
        <v>42878</v>
      </c>
      <c r="C2328" s="157">
        <v>12695.02</v>
      </c>
    </row>
    <row r="2329" spans="2:3">
      <c r="B2329" s="156">
        <v>42877</v>
      </c>
      <c r="C2329" s="157">
        <v>12765.48</v>
      </c>
    </row>
    <row r="2330" spans="2:3">
      <c r="B2330" s="156">
        <v>42874</v>
      </c>
      <c r="C2330" s="157">
        <v>12751.43</v>
      </c>
    </row>
    <row r="2331" spans="2:3">
      <c r="B2331" s="156">
        <v>42873</v>
      </c>
      <c r="C2331" s="157">
        <v>12753.55</v>
      </c>
    </row>
    <row r="2332" spans="2:3">
      <c r="B2332" s="156">
        <v>42872</v>
      </c>
      <c r="C2332" s="157">
        <v>12883.83</v>
      </c>
    </row>
    <row r="2333" spans="2:3">
      <c r="B2333" s="156">
        <v>42871</v>
      </c>
      <c r="C2333" s="157">
        <v>12865.56</v>
      </c>
    </row>
    <row r="2334" spans="2:3">
      <c r="B2334" s="156">
        <v>42870</v>
      </c>
      <c r="C2334" s="157">
        <v>12775.11</v>
      </c>
    </row>
    <row r="2335" spans="2:3">
      <c r="B2335" s="156">
        <v>42867</v>
      </c>
      <c r="C2335" s="157">
        <v>12714.97</v>
      </c>
    </row>
    <row r="2336" spans="2:3">
      <c r="B2336" s="156">
        <v>42866</v>
      </c>
      <c r="C2336" s="157">
        <v>12743.99</v>
      </c>
    </row>
    <row r="2337" spans="2:3">
      <c r="B2337" s="156">
        <v>42865</v>
      </c>
      <c r="C2337" s="157">
        <v>12723.6</v>
      </c>
    </row>
    <row r="2338" spans="2:3">
      <c r="B2338" s="156">
        <v>42864</v>
      </c>
      <c r="C2338" s="157">
        <v>12601.23</v>
      </c>
    </row>
    <row r="2339" spans="2:3">
      <c r="B2339" s="156">
        <v>42863</v>
      </c>
      <c r="C2339" s="157">
        <v>12597.5</v>
      </c>
    </row>
    <row r="2340" spans="2:3">
      <c r="B2340" s="156">
        <v>42860</v>
      </c>
      <c r="C2340" s="157">
        <v>12558.6</v>
      </c>
    </row>
    <row r="2341" spans="2:3">
      <c r="B2341" s="156">
        <v>42859</v>
      </c>
      <c r="C2341" s="157">
        <v>12659.51</v>
      </c>
    </row>
    <row r="2342" spans="2:3">
      <c r="B2342" s="156">
        <v>42858</v>
      </c>
      <c r="C2342" s="157">
        <v>12593.58</v>
      </c>
    </row>
    <row r="2343" spans="2:3">
      <c r="B2343" s="156">
        <v>42857</v>
      </c>
      <c r="C2343" s="157">
        <v>12596.08</v>
      </c>
    </row>
    <row r="2344" spans="2:3">
      <c r="B2344" s="156">
        <v>42853</v>
      </c>
      <c r="C2344" s="157">
        <v>12582.88</v>
      </c>
    </row>
    <row r="2345" spans="2:3">
      <c r="B2345" s="156">
        <v>42852</v>
      </c>
      <c r="C2345" s="157">
        <v>12634.41</v>
      </c>
    </row>
    <row r="2346" spans="2:3">
      <c r="B2346" s="156">
        <v>42851</v>
      </c>
      <c r="C2346" s="157">
        <v>12647.53</v>
      </c>
    </row>
    <row r="2347" spans="2:3">
      <c r="B2347" s="156">
        <v>42850</v>
      </c>
      <c r="C2347" s="157">
        <v>12586.34</v>
      </c>
    </row>
    <row r="2348" spans="2:3">
      <c r="B2348" s="156">
        <v>42849</v>
      </c>
      <c r="C2348" s="157">
        <v>12466.46</v>
      </c>
    </row>
    <row r="2349" spans="2:3">
      <c r="B2349" s="156">
        <v>42846</v>
      </c>
      <c r="C2349" s="157">
        <v>12333.17</v>
      </c>
    </row>
    <row r="2350" spans="2:3">
      <c r="B2350" s="156">
        <v>42845</v>
      </c>
      <c r="C2350" s="157">
        <v>12356.2</v>
      </c>
    </row>
    <row r="2351" spans="2:3">
      <c r="B2351" s="156">
        <v>42844</v>
      </c>
      <c r="C2351" s="157">
        <v>12311.67</v>
      </c>
    </row>
    <row r="2352" spans="2:3">
      <c r="B2352" s="156">
        <v>42843</v>
      </c>
      <c r="C2352" s="157">
        <v>12313.9</v>
      </c>
    </row>
    <row r="2353" spans="2:3">
      <c r="B2353" s="156">
        <v>42842</v>
      </c>
      <c r="C2353" s="157">
        <v>12360.11</v>
      </c>
    </row>
    <row r="2354" spans="2:3">
      <c r="B2354" s="156">
        <v>42838</v>
      </c>
      <c r="C2354" s="157">
        <v>12375.68</v>
      </c>
    </row>
    <row r="2355" spans="2:3">
      <c r="B2355" s="156">
        <v>42837</v>
      </c>
      <c r="C2355" s="157">
        <v>12446.84</v>
      </c>
    </row>
    <row r="2356" spans="2:3">
      <c r="B2356" s="156">
        <v>42836</v>
      </c>
      <c r="C2356" s="157">
        <v>12492.24</v>
      </c>
    </row>
    <row r="2357" spans="2:3">
      <c r="B2357" s="156">
        <v>42835</v>
      </c>
      <c r="C2357" s="157">
        <v>12417.07</v>
      </c>
    </row>
    <row r="2358" spans="2:3">
      <c r="B2358" s="156">
        <v>42832</v>
      </c>
      <c r="C2358" s="157">
        <v>12439.9</v>
      </c>
    </row>
    <row r="2359" spans="2:3">
      <c r="B2359" s="156">
        <v>42831</v>
      </c>
      <c r="C2359" s="157">
        <v>12525.97</v>
      </c>
    </row>
    <row r="2360" spans="2:3">
      <c r="B2360" s="156">
        <v>42830</v>
      </c>
      <c r="C2360" s="157">
        <v>12530.31</v>
      </c>
    </row>
    <row r="2361" spans="2:3">
      <c r="B2361" s="156">
        <v>42828</v>
      </c>
      <c r="C2361" s="157">
        <v>12493.39</v>
      </c>
    </row>
    <row r="2362" spans="2:3">
      <c r="B2362" s="156">
        <v>42825</v>
      </c>
      <c r="C2362" s="157">
        <v>12406.69</v>
      </c>
    </row>
    <row r="2363" spans="2:3">
      <c r="B2363" s="156">
        <v>42824</v>
      </c>
      <c r="C2363" s="157">
        <v>12404.41</v>
      </c>
    </row>
    <row r="2364" spans="2:3">
      <c r="B2364" s="156">
        <v>42823</v>
      </c>
      <c r="C2364" s="157">
        <v>12363.95</v>
      </c>
    </row>
    <row r="2365" spans="2:3">
      <c r="B2365" s="156">
        <v>42822</v>
      </c>
      <c r="C2365" s="157">
        <v>12305.77</v>
      </c>
    </row>
    <row r="2366" spans="2:3">
      <c r="B2366" s="156">
        <v>42821</v>
      </c>
      <c r="C2366" s="157">
        <v>12230.63</v>
      </c>
    </row>
    <row r="2367" spans="2:3">
      <c r="B2367" s="156">
        <v>42818</v>
      </c>
      <c r="C2367" s="157">
        <v>12314.98</v>
      </c>
    </row>
    <row r="2368" spans="2:3">
      <c r="B2368" s="156">
        <v>42817</v>
      </c>
      <c r="C2368" s="157">
        <v>12283.35</v>
      </c>
    </row>
    <row r="2369" spans="2:3">
      <c r="B2369" s="156">
        <v>42816</v>
      </c>
      <c r="C2369" s="157">
        <v>12207.85</v>
      </c>
    </row>
    <row r="2370" spans="2:3">
      <c r="B2370" s="156">
        <v>42815</v>
      </c>
      <c r="C2370" s="157">
        <v>12330.92</v>
      </c>
    </row>
    <row r="2371" spans="2:3">
      <c r="B2371" s="156">
        <v>42814</v>
      </c>
      <c r="C2371" s="157">
        <v>12338.14</v>
      </c>
    </row>
    <row r="2372" spans="2:3">
      <c r="B2372" s="156">
        <v>42811</v>
      </c>
      <c r="C2372" s="157">
        <v>12383.04</v>
      </c>
    </row>
    <row r="2373" spans="2:3">
      <c r="B2373" s="156">
        <v>42810</v>
      </c>
      <c r="C2373" s="157">
        <v>12374.48</v>
      </c>
    </row>
    <row r="2374" spans="2:3">
      <c r="B2374" s="156">
        <v>42809</v>
      </c>
      <c r="C2374" s="157">
        <v>12278.23</v>
      </c>
    </row>
    <row r="2375" spans="2:3">
      <c r="B2375" s="156">
        <v>42808</v>
      </c>
      <c r="C2375" s="157">
        <v>12281.22</v>
      </c>
    </row>
    <row r="2376" spans="2:3">
      <c r="B2376" s="156">
        <v>42804</v>
      </c>
      <c r="C2376" s="157">
        <v>12066.4</v>
      </c>
    </row>
    <row r="2377" spans="2:3">
      <c r="B2377" s="156">
        <v>42803</v>
      </c>
      <c r="C2377" s="157">
        <v>12056.17</v>
      </c>
    </row>
    <row r="2378" spans="2:3">
      <c r="B2378" s="156">
        <v>42802</v>
      </c>
      <c r="C2378" s="157">
        <v>12050.77</v>
      </c>
    </row>
    <row r="2379" spans="2:3">
      <c r="B2379" s="156">
        <v>42801</v>
      </c>
      <c r="C2379" s="157">
        <v>12081.34</v>
      </c>
    </row>
    <row r="2380" spans="2:3">
      <c r="B2380" s="156">
        <v>42800</v>
      </c>
      <c r="C2380" s="157">
        <v>12103.68</v>
      </c>
    </row>
    <row r="2381" spans="2:3">
      <c r="B2381" s="156">
        <v>42797</v>
      </c>
      <c r="C2381" s="157">
        <v>12014.7</v>
      </c>
    </row>
    <row r="2382" spans="2:3">
      <c r="B2382" s="156">
        <v>42796</v>
      </c>
      <c r="C2382" s="157">
        <v>12017.63</v>
      </c>
    </row>
    <row r="2383" spans="2:3">
      <c r="B2383" s="156">
        <v>42795</v>
      </c>
      <c r="C2383" s="157">
        <v>12079.8</v>
      </c>
    </row>
    <row r="2384" spans="2:3">
      <c r="B2384" s="156">
        <v>42794</v>
      </c>
      <c r="C2384" s="157">
        <v>11990.44</v>
      </c>
    </row>
    <row r="2385" spans="2:3">
      <c r="B2385" s="156">
        <v>42793</v>
      </c>
      <c r="C2385" s="157">
        <v>12009.8</v>
      </c>
    </row>
    <row r="2386" spans="2:3">
      <c r="B2386" s="156">
        <v>42789</v>
      </c>
      <c r="C2386" s="157">
        <v>12067.61</v>
      </c>
    </row>
    <row r="2387" spans="2:3">
      <c r="B2387" s="156">
        <v>42788</v>
      </c>
      <c r="C2387" s="157">
        <v>12050.54</v>
      </c>
    </row>
    <row r="2388" spans="2:3">
      <c r="B2388" s="156">
        <v>42787</v>
      </c>
      <c r="C2388" s="157">
        <v>12024.88</v>
      </c>
    </row>
    <row r="2389" spans="2:3">
      <c r="B2389" s="156">
        <v>42786</v>
      </c>
      <c r="C2389" s="157">
        <v>11986.21</v>
      </c>
    </row>
    <row r="2390" spans="2:3">
      <c r="B2390" s="156">
        <v>42783</v>
      </c>
      <c r="C2390" s="157">
        <v>11908.56</v>
      </c>
    </row>
    <row r="2391" spans="2:3">
      <c r="B2391" s="156">
        <v>42782</v>
      </c>
      <c r="C2391" s="157">
        <v>11849.55</v>
      </c>
    </row>
    <row r="2392" spans="2:3">
      <c r="B2392" s="156">
        <v>42781</v>
      </c>
      <c r="C2392" s="157">
        <v>11776.57</v>
      </c>
    </row>
    <row r="2393" spans="2:3">
      <c r="B2393" s="156">
        <v>42780</v>
      </c>
      <c r="C2393" s="157">
        <v>11865.43</v>
      </c>
    </row>
    <row r="2394" spans="2:3">
      <c r="B2394" s="156">
        <v>42779</v>
      </c>
      <c r="C2394" s="157">
        <v>11882.38</v>
      </c>
    </row>
    <row r="2395" spans="2:3">
      <c r="B2395" s="156">
        <v>42776</v>
      </c>
      <c r="C2395" s="157">
        <v>11866.82</v>
      </c>
    </row>
    <row r="2396" spans="2:3">
      <c r="B2396" s="156">
        <v>42775</v>
      </c>
      <c r="C2396" s="157">
        <v>11846.42</v>
      </c>
    </row>
    <row r="2397" spans="2:3">
      <c r="B2397" s="156">
        <v>42774</v>
      </c>
      <c r="C2397" s="157">
        <v>11833.8</v>
      </c>
    </row>
    <row r="2398" spans="2:3">
      <c r="B2398" s="156">
        <v>42773</v>
      </c>
      <c r="C2398" s="157">
        <v>11832.78</v>
      </c>
    </row>
    <row r="2399" spans="2:3">
      <c r="B2399" s="156">
        <v>42772</v>
      </c>
      <c r="C2399" s="157">
        <v>11874.73</v>
      </c>
    </row>
    <row r="2400" spans="2:3">
      <c r="B2400" s="156">
        <v>42769</v>
      </c>
      <c r="C2400" s="157">
        <v>11793.62</v>
      </c>
    </row>
    <row r="2401" spans="2:3">
      <c r="B2401" s="156">
        <v>42768</v>
      </c>
      <c r="C2401" s="157">
        <v>11784.61</v>
      </c>
    </row>
    <row r="2402" spans="2:3">
      <c r="B2402" s="156">
        <v>42767</v>
      </c>
      <c r="C2402" s="157">
        <v>11758.63</v>
      </c>
    </row>
    <row r="2403" spans="2:3">
      <c r="B2403" s="156">
        <v>42766</v>
      </c>
      <c r="C2403" s="157">
        <v>11548.15</v>
      </c>
    </row>
    <row r="2404" spans="2:3">
      <c r="B2404" s="156">
        <v>42765</v>
      </c>
      <c r="C2404" s="157">
        <v>11644.53</v>
      </c>
    </row>
    <row r="2405" spans="2:3">
      <c r="B2405" s="156">
        <v>42762</v>
      </c>
      <c r="C2405" s="157">
        <v>11656</v>
      </c>
    </row>
    <row r="2406" spans="2:3">
      <c r="B2406" s="156">
        <v>42760</v>
      </c>
      <c r="C2406" s="157">
        <v>11604.09</v>
      </c>
    </row>
    <row r="2407" spans="2:3">
      <c r="B2407" s="156">
        <v>42759</v>
      </c>
      <c r="C2407" s="157">
        <v>11432.83</v>
      </c>
    </row>
    <row r="2408" spans="2:3">
      <c r="B2408" s="156">
        <v>42758</v>
      </c>
      <c r="C2408" s="157">
        <v>11319.09</v>
      </c>
    </row>
    <row r="2409" spans="2:3">
      <c r="B2409" s="156">
        <v>42755</v>
      </c>
      <c r="C2409" s="157">
        <v>11260.99</v>
      </c>
    </row>
    <row r="2410" spans="2:3">
      <c r="B2410" s="156">
        <v>42754</v>
      </c>
      <c r="C2410" s="157">
        <v>11376.62</v>
      </c>
    </row>
    <row r="2411" spans="2:3">
      <c r="B2411" s="156">
        <v>42753</v>
      </c>
      <c r="C2411" s="157">
        <v>11352.22</v>
      </c>
    </row>
    <row r="2412" spans="2:3">
      <c r="B2412" s="156">
        <v>42752</v>
      </c>
      <c r="C2412" s="157">
        <v>11326.62</v>
      </c>
    </row>
    <row r="2413" spans="2:3">
      <c r="B2413" s="156">
        <v>42751</v>
      </c>
      <c r="C2413" s="157">
        <v>11346.57</v>
      </c>
    </row>
    <row r="2414" spans="2:3">
      <c r="B2414" s="156">
        <v>42748</v>
      </c>
      <c r="C2414" s="157">
        <v>11329.78</v>
      </c>
    </row>
    <row r="2415" spans="2:3">
      <c r="B2415" s="156">
        <v>42747</v>
      </c>
      <c r="C2415" s="157">
        <v>11339.04</v>
      </c>
    </row>
    <row r="2416" spans="2:3">
      <c r="B2416" s="156">
        <v>42746</v>
      </c>
      <c r="C2416" s="157">
        <v>11303.19</v>
      </c>
    </row>
    <row r="2417" spans="2:3">
      <c r="B2417" s="156">
        <v>42745</v>
      </c>
      <c r="C2417" s="157">
        <v>11179.04</v>
      </c>
    </row>
    <row r="2418" spans="2:3">
      <c r="B2418" s="156">
        <v>42744</v>
      </c>
      <c r="C2418" s="157">
        <v>11108.2</v>
      </c>
    </row>
    <row r="2419" spans="2:3">
      <c r="B2419" s="156">
        <v>42741</v>
      </c>
      <c r="C2419" s="157">
        <v>11118.62</v>
      </c>
    </row>
    <row r="2420" spans="2:3">
      <c r="B2420" s="156">
        <v>42740</v>
      </c>
      <c r="C2420" s="157">
        <v>11159.12</v>
      </c>
    </row>
    <row r="2421" spans="2:3">
      <c r="B2421" s="156">
        <v>42739</v>
      </c>
      <c r="C2421" s="157">
        <v>11046.76</v>
      </c>
    </row>
    <row r="2422" spans="2:3">
      <c r="B2422" s="156">
        <v>42738</v>
      </c>
      <c r="C2422" s="157">
        <v>11049.08</v>
      </c>
    </row>
    <row r="2423" spans="2:3">
      <c r="B2423" s="156">
        <v>42737</v>
      </c>
      <c r="C2423" s="157">
        <v>11031.91</v>
      </c>
    </row>
    <row r="2424" spans="2:3">
      <c r="B2424" s="156">
        <v>42734</v>
      </c>
      <c r="C2424" s="157">
        <v>11040.41</v>
      </c>
    </row>
    <row r="2425" spans="2:3">
      <c r="B2425" s="156">
        <v>42733</v>
      </c>
      <c r="C2425" s="157">
        <v>10929.53</v>
      </c>
    </row>
    <row r="2426" spans="2:3">
      <c r="B2426" s="156">
        <v>42732</v>
      </c>
      <c r="C2426" s="157">
        <v>10836.85</v>
      </c>
    </row>
    <row r="2427" spans="2:3">
      <c r="B2427" s="156">
        <v>42731</v>
      </c>
      <c r="C2427" s="157">
        <v>10834.12</v>
      </c>
    </row>
    <row r="2428" spans="2:3">
      <c r="B2428" s="156">
        <v>42730</v>
      </c>
      <c r="C2428" s="157">
        <v>10666.06</v>
      </c>
    </row>
    <row r="2429" spans="2:3">
      <c r="B2429" s="156">
        <v>42727</v>
      </c>
      <c r="C2429" s="157">
        <v>10770.6</v>
      </c>
    </row>
    <row r="2430" spans="2:3">
      <c r="B2430" s="156">
        <v>42726</v>
      </c>
      <c r="C2430" s="157">
        <v>10761.65</v>
      </c>
    </row>
    <row r="2431" spans="2:3">
      <c r="B2431" s="156">
        <v>42725</v>
      </c>
      <c r="C2431" s="157">
        <v>10872.49</v>
      </c>
    </row>
    <row r="2432" spans="2:3">
      <c r="B2432" s="156">
        <v>42724</v>
      </c>
      <c r="C2432" s="157">
        <v>10900.96</v>
      </c>
    </row>
    <row r="2433" spans="2:3">
      <c r="B2433" s="156">
        <v>42723</v>
      </c>
      <c r="C2433" s="157">
        <v>10930.55</v>
      </c>
    </row>
    <row r="2434" spans="2:3">
      <c r="B2434" s="156">
        <v>42720</v>
      </c>
      <c r="C2434" s="157">
        <v>10977.91</v>
      </c>
    </row>
    <row r="2435" spans="2:3">
      <c r="B2435" s="156">
        <v>42719</v>
      </c>
      <c r="C2435" s="157">
        <v>10997.01</v>
      </c>
    </row>
    <row r="2436" spans="2:3">
      <c r="B2436" s="156">
        <v>42718</v>
      </c>
      <c r="C2436" s="157">
        <v>11035.88</v>
      </c>
    </row>
    <row r="2437" spans="2:3">
      <c r="B2437" s="156">
        <v>42717</v>
      </c>
      <c r="C2437" s="157">
        <v>11088.99</v>
      </c>
    </row>
    <row r="2438" spans="2:3">
      <c r="B2438" s="156">
        <v>42716</v>
      </c>
      <c r="C2438" s="157">
        <v>11020.15</v>
      </c>
    </row>
    <row r="2439" spans="2:3">
      <c r="B2439" s="156">
        <v>42713</v>
      </c>
      <c r="C2439" s="157">
        <v>11142.82</v>
      </c>
    </row>
    <row r="2440" spans="2:3">
      <c r="B2440" s="156">
        <v>42712</v>
      </c>
      <c r="C2440" s="157">
        <v>11122.75</v>
      </c>
    </row>
    <row r="2441" spans="2:3">
      <c r="B2441" s="156">
        <v>42711</v>
      </c>
      <c r="C2441" s="157">
        <v>10927.43</v>
      </c>
    </row>
    <row r="2442" spans="2:3">
      <c r="B2442" s="156">
        <v>42710</v>
      </c>
      <c r="C2442" s="157">
        <v>10982.89</v>
      </c>
    </row>
    <row r="2443" spans="2:3">
      <c r="B2443" s="156">
        <v>42709</v>
      </c>
      <c r="C2443" s="157">
        <v>10963.49</v>
      </c>
    </row>
    <row r="2444" spans="2:3">
      <c r="B2444" s="156">
        <v>42706</v>
      </c>
      <c r="C2444" s="157">
        <v>10906.86</v>
      </c>
    </row>
    <row r="2445" spans="2:3">
      <c r="B2445" s="156">
        <v>42705</v>
      </c>
      <c r="C2445" s="157">
        <v>11050</v>
      </c>
    </row>
    <row r="2446" spans="2:3">
      <c r="B2446" s="156">
        <v>42704</v>
      </c>
      <c r="C2446" s="157">
        <v>11092.59</v>
      </c>
    </row>
    <row r="2447" spans="2:3">
      <c r="B2447" s="156">
        <v>42703</v>
      </c>
      <c r="C2447" s="157">
        <v>10981.54</v>
      </c>
    </row>
    <row r="2448" spans="2:3">
      <c r="B2448" s="156">
        <v>42702</v>
      </c>
      <c r="C2448" s="157">
        <v>10960.97</v>
      </c>
    </row>
    <row r="2449" spans="2:3">
      <c r="B2449" s="156">
        <v>42699</v>
      </c>
      <c r="C2449" s="157">
        <v>10943.99</v>
      </c>
    </row>
    <row r="2450" spans="2:3">
      <c r="B2450" s="156">
        <v>42698</v>
      </c>
      <c r="C2450" s="157">
        <v>10743.28</v>
      </c>
    </row>
    <row r="2451" spans="2:3">
      <c r="B2451" s="156">
        <v>42697</v>
      </c>
      <c r="C2451" s="157">
        <v>10834.59</v>
      </c>
    </row>
    <row r="2452" spans="2:3">
      <c r="B2452" s="156">
        <v>42696</v>
      </c>
      <c r="C2452" s="157">
        <v>10792.82</v>
      </c>
    </row>
    <row r="2453" spans="2:3">
      <c r="B2453" s="156">
        <v>42695</v>
      </c>
      <c r="C2453" s="157">
        <v>10694.09</v>
      </c>
    </row>
    <row r="2454" spans="2:3">
      <c r="B2454" s="156">
        <v>42692</v>
      </c>
      <c r="C2454" s="157">
        <v>10889.64</v>
      </c>
    </row>
    <row r="2455" spans="2:3">
      <c r="B2455" s="156">
        <v>42691</v>
      </c>
      <c r="C2455" s="157">
        <v>10897.55</v>
      </c>
    </row>
    <row r="2456" spans="2:3">
      <c r="B2456" s="156">
        <v>42690</v>
      </c>
      <c r="C2456" s="157">
        <v>10940.23</v>
      </c>
    </row>
    <row r="2457" spans="2:3">
      <c r="B2457" s="156">
        <v>42689</v>
      </c>
      <c r="C2457" s="157">
        <v>10935.99</v>
      </c>
    </row>
    <row r="2458" spans="2:3">
      <c r="B2458" s="156">
        <v>42685</v>
      </c>
      <c r="C2458" s="157">
        <v>11189.3</v>
      </c>
    </row>
    <row r="2459" spans="2:3">
      <c r="B2459" s="156">
        <v>42684</v>
      </c>
      <c r="C2459" s="157">
        <v>11498.79</v>
      </c>
    </row>
    <row r="2460" spans="2:3">
      <c r="B2460" s="156">
        <v>42683</v>
      </c>
      <c r="C2460" s="157">
        <v>11372.35</v>
      </c>
    </row>
    <row r="2461" spans="2:3">
      <c r="B2461" s="156">
        <v>42682</v>
      </c>
      <c r="C2461" s="157">
        <v>11522.76</v>
      </c>
    </row>
    <row r="2462" spans="2:3">
      <c r="B2462" s="156">
        <v>42681</v>
      </c>
      <c r="C2462" s="157">
        <v>11460.08</v>
      </c>
    </row>
    <row r="2463" spans="2:3">
      <c r="B2463" s="156">
        <v>42678</v>
      </c>
      <c r="C2463" s="157">
        <v>11374.71</v>
      </c>
    </row>
    <row r="2464" spans="2:3">
      <c r="B2464" s="156">
        <v>42677</v>
      </c>
      <c r="C2464" s="157">
        <v>11443.72</v>
      </c>
    </row>
    <row r="2465" spans="2:3">
      <c r="B2465" s="156">
        <v>42676</v>
      </c>
      <c r="C2465" s="157">
        <v>11479.94</v>
      </c>
    </row>
    <row r="2466" spans="2:3">
      <c r="B2466" s="156">
        <v>42675</v>
      </c>
      <c r="C2466" s="157">
        <v>11631.33</v>
      </c>
    </row>
    <row r="2467" spans="2:3">
      <c r="B2467" s="156">
        <v>42673</v>
      </c>
      <c r="C2467" s="157">
        <v>11628.32</v>
      </c>
    </row>
    <row r="2468" spans="2:3">
      <c r="B2468" s="156">
        <v>42671</v>
      </c>
      <c r="C2468" s="157">
        <v>11644.89</v>
      </c>
    </row>
    <row r="2469" spans="2:3">
      <c r="B2469" s="156">
        <v>42670</v>
      </c>
      <c r="C2469" s="157">
        <v>11614.18</v>
      </c>
    </row>
    <row r="2470" spans="2:3">
      <c r="B2470" s="156">
        <v>42669</v>
      </c>
      <c r="C2470" s="157">
        <v>11612.99</v>
      </c>
    </row>
    <row r="2471" spans="2:3">
      <c r="B2471" s="156">
        <v>42668</v>
      </c>
      <c r="C2471" s="157">
        <v>11715.45</v>
      </c>
    </row>
    <row r="2472" spans="2:3">
      <c r="B2472" s="156">
        <v>42667</v>
      </c>
      <c r="C2472" s="157">
        <v>11739.24</v>
      </c>
    </row>
    <row r="2473" spans="2:3">
      <c r="B2473" s="156">
        <v>42664</v>
      </c>
      <c r="C2473" s="157">
        <v>11716.57</v>
      </c>
    </row>
    <row r="2474" spans="2:3">
      <c r="B2474" s="156">
        <v>42663</v>
      </c>
      <c r="C2474" s="157">
        <v>11717.04</v>
      </c>
    </row>
    <row r="2475" spans="2:3">
      <c r="B2475" s="156">
        <v>42662</v>
      </c>
      <c r="C2475" s="157">
        <v>11662.81</v>
      </c>
    </row>
    <row r="2476" spans="2:3">
      <c r="B2476" s="156">
        <v>42661</v>
      </c>
      <c r="C2476" s="157">
        <v>11688.13</v>
      </c>
    </row>
    <row r="2477" spans="2:3">
      <c r="B2477" s="156">
        <v>42660</v>
      </c>
      <c r="C2477" s="157">
        <v>11475.97</v>
      </c>
    </row>
    <row r="2478" spans="2:3">
      <c r="B2478" s="156">
        <v>42657</v>
      </c>
      <c r="C2478" s="157">
        <v>11560.81</v>
      </c>
    </row>
    <row r="2479" spans="2:3">
      <c r="B2479" s="156">
        <v>42656</v>
      </c>
      <c r="C2479" s="157">
        <v>11547.3</v>
      </c>
    </row>
    <row r="2480" spans="2:3">
      <c r="B2480" s="156">
        <v>42653</v>
      </c>
      <c r="C2480" s="157">
        <v>11729.75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51"/>
  <sheetViews>
    <sheetView showGridLines="0" topLeftCell="A44" workbookViewId="0">
      <selection activeCell="H50" sqref="H50"/>
    </sheetView>
  </sheetViews>
  <sheetFormatPr defaultRowHeight="14.5"/>
  <cols>
    <col min="1" max="1" width="1.81640625" customWidth="1"/>
    <col min="2" max="2" width="40.6328125" customWidth="1"/>
    <col min="3" max="3" width="9.26953125" bestFit="1" customWidth="1"/>
    <col min="4" max="4" width="12.6328125" customWidth="1"/>
  </cols>
  <sheetData>
    <row r="2" spans="2:10" ht="21">
      <c r="B2" s="146" t="str">
        <f>'Market Return'!B2</f>
        <v>UltraTech Cement Ltd</v>
      </c>
      <c r="C2" s="144"/>
      <c r="D2" s="144"/>
      <c r="E2" s="144"/>
      <c r="F2" s="144"/>
      <c r="G2" s="144"/>
      <c r="H2" s="144"/>
      <c r="I2" s="144"/>
      <c r="J2" s="144"/>
    </row>
    <row r="3" spans="2:10">
      <c r="B3" s="144" t="s">
        <v>322</v>
      </c>
      <c r="C3" s="144"/>
      <c r="D3" s="144"/>
      <c r="E3" s="144"/>
      <c r="F3" s="144"/>
      <c r="G3" s="144"/>
      <c r="H3" s="144"/>
      <c r="I3" s="144"/>
      <c r="J3" s="144"/>
    </row>
    <row r="5" spans="2:10">
      <c r="B5" s="144" t="s">
        <v>323</v>
      </c>
      <c r="C5" s="144"/>
      <c r="D5" s="144"/>
      <c r="E5" s="144"/>
      <c r="F5" s="144"/>
      <c r="G5" s="144"/>
      <c r="H5" s="144"/>
      <c r="I5" s="144"/>
      <c r="J5" s="144"/>
    </row>
    <row r="7" spans="2:10">
      <c r="B7" s="145" t="s">
        <v>273</v>
      </c>
      <c r="C7" s="164" t="s">
        <v>324</v>
      </c>
      <c r="D7" s="145" t="s">
        <v>326</v>
      </c>
      <c r="E7" s="145" t="s">
        <v>327</v>
      </c>
      <c r="F7" s="145" t="s">
        <v>327</v>
      </c>
      <c r="G7" s="145" t="s">
        <v>155</v>
      </c>
      <c r="H7" s="145" t="s">
        <v>330</v>
      </c>
      <c r="I7" s="145" t="s">
        <v>332</v>
      </c>
    </row>
    <row r="8" spans="2:10">
      <c r="B8" s="149" t="s">
        <v>288</v>
      </c>
      <c r="C8" s="165" t="s">
        <v>325</v>
      </c>
      <c r="D8" s="165" t="s">
        <v>280</v>
      </c>
      <c r="E8" s="165" t="s">
        <v>324</v>
      </c>
      <c r="F8" s="165" t="s">
        <v>328</v>
      </c>
      <c r="G8" s="165" t="s">
        <v>329</v>
      </c>
      <c r="H8" s="165" t="s">
        <v>331</v>
      </c>
      <c r="I8" s="165" t="s">
        <v>331</v>
      </c>
    </row>
    <row r="10" spans="2:10">
      <c r="B10" t="str">
        <f>Model!B185</f>
        <v>Ambuja Cements</v>
      </c>
      <c r="C10" s="147">
        <f>Model!E185</f>
        <v>86968</v>
      </c>
      <c r="D10" s="147">
        <f>Model!F185</f>
        <v>865.93</v>
      </c>
      <c r="E10" s="148">
        <f t="shared" ref="E10:E15" si="0">D10/C10</f>
        <v>9.9568806917486891E-3</v>
      </c>
      <c r="F10" s="148">
        <f t="shared" ref="F10:F15" si="1">D10/SUM(C10:D10)</f>
        <v>9.8587186068071868E-3</v>
      </c>
      <c r="G10" s="155">
        <f>'Comps Data'!K4</f>
        <v>0.27050000000000002</v>
      </c>
      <c r="H10" s="167">
        <v>0.2</v>
      </c>
      <c r="I10" s="154">
        <f t="shared" ref="I10:I15" si="2">H10/(1+E10*(1-G10))</f>
        <v>0.1985577668318193</v>
      </c>
    </row>
    <row r="11" spans="2:10">
      <c r="B11" s="142" t="str">
        <f>Model!B186</f>
        <v>Shree Cement</v>
      </c>
      <c r="C11" s="147">
        <f>Model!E186</f>
        <v>79943.45</v>
      </c>
      <c r="D11" s="147">
        <f>Model!F186</f>
        <v>1868.14</v>
      </c>
      <c r="E11" s="148">
        <f t="shared" si="0"/>
        <v>2.3368268444756889E-2</v>
      </c>
      <c r="F11" s="148">
        <f t="shared" si="1"/>
        <v>2.2834661934818774E-2</v>
      </c>
      <c r="G11" s="155">
        <f>'Comps Data'!K5</f>
        <v>0.25919999999999999</v>
      </c>
      <c r="H11" s="167">
        <v>0.3</v>
      </c>
      <c r="I11" s="154">
        <f t="shared" si="2"/>
        <v>0.29489500959838949</v>
      </c>
    </row>
    <row r="12" spans="2:10">
      <c r="B12" s="142" t="str">
        <f>Model!B187</f>
        <v>J K Cements</v>
      </c>
      <c r="C12" s="147">
        <f>Model!E187</f>
        <v>37498.230000000003</v>
      </c>
      <c r="D12" s="147">
        <f>Model!F187</f>
        <v>6182.99</v>
      </c>
      <c r="E12" s="148">
        <f t="shared" si="0"/>
        <v>0.16488751602408966</v>
      </c>
      <c r="F12" s="148">
        <f t="shared" si="1"/>
        <v>0.14154801537136552</v>
      </c>
      <c r="G12" s="155">
        <f>'Comps Data'!K6</f>
        <v>0.33739999999999998</v>
      </c>
      <c r="H12" s="167">
        <v>0.39</v>
      </c>
      <c r="I12" s="154">
        <f t="shared" si="2"/>
        <v>0.35158749521364718</v>
      </c>
    </row>
    <row r="13" spans="2:10">
      <c r="B13" s="142" t="str">
        <f>Model!B188</f>
        <v>Dalmia Bharat Ltd</v>
      </c>
      <c r="C13" s="147">
        <f>Model!E188</f>
        <v>29989.736000000001</v>
      </c>
      <c r="D13" s="147">
        <f>Model!F188</f>
        <v>7406</v>
      </c>
      <c r="E13" s="148">
        <f t="shared" si="0"/>
        <v>0.24695115688914365</v>
      </c>
      <c r="F13" s="148">
        <f t="shared" si="1"/>
        <v>0.19804396950497241</v>
      </c>
      <c r="G13" s="155">
        <f>'Comps Data'!K7</f>
        <v>0.23749999999999999</v>
      </c>
      <c r="H13" s="167">
        <v>0.19</v>
      </c>
      <c r="I13" s="154">
        <f t="shared" si="2"/>
        <v>0.15989224849552336</v>
      </c>
    </row>
    <row r="14" spans="2:10">
      <c r="B14" s="142" t="str">
        <f>Model!B189</f>
        <v>ACC</v>
      </c>
      <c r="C14" s="147">
        <f>Model!E189</f>
        <v>21334.080000000002</v>
      </c>
      <c r="D14" s="147">
        <f>Model!F189</f>
        <v>428.61</v>
      </c>
      <c r="E14" s="148">
        <f t="shared" si="0"/>
        <v>2.0090390586329478E-2</v>
      </c>
      <c r="F14" s="148">
        <f t="shared" si="1"/>
        <v>1.9694716048429674E-2</v>
      </c>
      <c r="G14" s="155">
        <f>'Comps Data'!K8</f>
        <v>0.25769999999999998</v>
      </c>
      <c r="H14" s="167">
        <v>0.34</v>
      </c>
      <c r="I14" s="154">
        <f t="shared" si="2"/>
        <v>0.33500405209836642</v>
      </c>
    </row>
    <row r="15" spans="2:10">
      <c r="B15" s="142" t="str">
        <f>Model!B190</f>
        <v>The Ramco Cement</v>
      </c>
      <c r="C15" s="147">
        <f>Model!E190</f>
        <v>19126.121999999999</v>
      </c>
      <c r="D15" s="147">
        <f>Model!F190</f>
        <v>3871.1</v>
      </c>
      <c r="E15" s="148">
        <f t="shared" si="0"/>
        <v>0.20239858346610987</v>
      </c>
      <c r="F15" s="148">
        <f t="shared" si="1"/>
        <v>0.16832902687115861</v>
      </c>
      <c r="G15" s="155">
        <f>'Comps Data'!K9</f>
        <v>0.25080000000000002</v>
      </c>
      <c r="H15" s="167">
        <v>0.1</v>
      </c>
      <c r="I15" s="154">
        <f t="shared" si="2"/>
        <v>8.6832915557050999E-2</v>
      </c>
    </row>
    <row r="16" spans="2:10">
      <c r="B16" s="142"/>
      <c r="C16" s="142"/>
      <c r="D16" s="142"/>
      <c r="E16" s="148"/>
      <c r="F16" s="148"/>
      <c r="G16" s="153"/>
      <c r="H16" s="142"/>
      <c r="I16" s="142"/>
    </row>
    <row r="17" spans="1:9">
      <c r="B17" s="150" t="s">
        <v>308</v>
      </c>
      <c r="C17" s="150"/>
      <c r="D17" s="150"/>
      <c r="E17" s="168">
        <f>AVERAGE(E10:E15)</f>
        <v>0.11127546601702971</v>
      </c>
      <c r="F17" s="168">
        <f>AVERAGE(F10:F15)</f>
        <v>9.3384851389592016E-2</v>
      </c>
      <c r="G17" s="168">
        <f>AVERAGE(G10:G15)</f>
        <v>0.26885000000000003</v>
      </c>
      <c r="H17" s="169">
        <f>AVERAGE(H10:H15)</f>
        <v>0.25333333333333335</v>
      </c>
      <c r="I17" s="169">
        <f>AVERAGE(I10:I15)</f>
        <v>0.23779491463246613</v>
      </c>
    </row>
    <row r="18" spans="1:9">
      <c r="B18" s="150" t="s">
        <v>309</v>
      </c>
      <c r="C18" s="150"/>
      <c r="D18" s="150"/>
      <c r="E18" s="168">
        <f>MEDIAN(E10:E15)</f>
        <v>9.4127892234423277E-2</v>
      </c>
      <c r="F18" s="168">
        <f>MEDIAN(F10:F15)</f>
        <v>8.2191338653092152E-2</v>
      </c>
      <c r="G18" s="168">
        <f>MEDIAN(G10:G15)</f>
        <v>0.25844999999999996</v>
      </c>
      <c r="H18" s="169">
        <f>MEDIAN(H10:H15)</f>
        <v>0.25</v>
      </c>
      <c r="I18" s="169">
        <f>MEDIAN(I10:I15)</f>
        <v>0.2467263882151044</v>
      </c>
    </row>
    <row r="19" spans="1:9">
      <c r="B19" s="142"/>
      <c r="C19" s="142"/>
      <c r="D19" s="142"/>
      <c r="E19" s="148"/>
      <c r="F19" s="148"/>
      <c r="G19" s="153"/>
      <c r="H19" s="142"/>
      <c r="I19" s="142"/>
    </row>
    <row r="20" spans="1:9">
      <c r="B20" s="142" t="str">
        <f>Model!B195</f>
        <v>UltraTech Cem.</v>
      </c>
      <c r="C20" s="147">
        <f>Model!E195</f>
        <v>314592.25</v>
      </c>
      <c r="D20" s="147">
        <f>Model!F195</f>
        <v>23755.09</v>
      </c>
      <c r="E20" s="148">
        <f>D20/C20</f>
        <v>7.5510728570077623E-2</v>
      </c>
      <c r="F20" s="148">
        <f>D20/SUM(C20:D20)</f>
        <v>7.0209182078984272E-2</v>
      </c>
      <c r="G20" s="155">
        <f>'Comps Data'!K3</f>
        <v>0.24640000000000001</v>
      </c>
      <c r="H20" s="167">
        <v>0.49</v>
      </c>
      <c r="I20" s="154">
        <f>H20/(1+E20*(1-G20))</f>
        <v>0.46361787794805087</v>
      </c>
    </row>
    <row r="22" spans="1:9">
      <c r="A22" t="s">
        <v>2</v>
      </c>
      <c r="B22" s="172" t="s">
        <v>350</v>
      </c>
      <c r="C22" s="172"/>
      <c r="D22" s="172"/>
      <c r="E22" s="172"/>
      <c r="F22" s="172"/>
      <c r="G22" s="172"/>
      <c r="H22" s="172"/>
      <c r="I22" s="172"/>
    </row>
    <row r="24" spans="1:9">
      <c r="B24" s="177" t="s">
        <v>335</v>
      </c>
      <c r="C24" s="177"/>
      <c r="D24" s="177"/>
    </row>
    <row r="25" spans="1:9">
      <c r="B25" s="171" t="s">
        <v>336</v>
      </c>
      <c r="D25" s="153">
        <f>F17</f>
        <v>9.3384851389592016E-2</v>
      </c>
    </row>
    <row r="26" spans="1:9">
      <c r="B26" s="171" t="s">
        <v>337</v>
      </c>
      <c r="D26" s="153">
        <f>1-D25</f>
        <v>0.90661514861040793</v>
      </c>
    </row>
    <row r="28" spans="1:9">
      <c r="B28" s="177" t="s">
        <v>338</v>
      </c>
      <c r="C28" s="177"/>
      <c r="D28" s="177"/>
    </row>
    <row r="29" spans="1:9">
      <c r="B29" s="171" t="s">
        <v>339</v>
      </c>
      <c r="D29" s="174">
        <f>C20</f>
        <v>314592.25</v>
      </c>
    </row>
    <row r="30" spans="1:9">
      <c r="B30" s="171" t="s">
        <v>340</v>
      </c>
      <c r="D30" s="174">
        <f>D20</f>
        <v>23755.09</v>
      </c>
    </row>
    <row r="31" spans="1:9">
      <c r="B31" s="171" t="s">
        <v>341</v>
      </c>
      <c r="D31" s="175">
        <f>D30/D29</f>
        <v>7.5510728570077623E-2</v>
      </c>
    </row>
    <row r="33" spans="2:4">
      <c r="B33" s="177" t="s">
        <v>342</v>
      </c>
      <c r="C33" s="177"/>
      <c r="D33" s="177"/>
    </row>
    <row r="34" spans="2:4">
      <c r="B34" s="171" t="s">
        <v>343</v>
      </c>
      <c r="D34" s="175">
        <f>Model!H32</f>
        <v>7.8220508608201011E-2</v>
      </c>
    </row>
    <row r="35" spans="2:4">
      <c r="B35" s="171" t="s">
        <v>333</v>
      </c>
      <c r="D35" s="175">
        <f>G20</f>
        <v>0.24640000000000001</v>
      </c>
    </row>
    <row r="36" spans="2:4">
      <c r="B36" s="173" t="s">
        <v>344</v>
      </c>
      <c r="C36" s="176"/>
      <c r="D36" s="182">
        <f>D34*(1-D35)</f>
        <v>5.8946975287140289E-2</v>
      </c>
    </row>
    <row r="37" spans="2:4" s="208" customFormat="1">
      <c r="B37" s="209"/>
      <c r="C37" s="212"/>
      <c r="D37" s="207"/>
    </row>
    <row r="38" spans="2:4" s="208" customFormat="1">
      <c r="B38" s="214" t="s">
        <v>331</v>
      </c>
      <c r="C38" s="214"/>
      <c r="D38" s="214"/>
    </row>
    <row r="39" spans="2:4" s="208" customFormat="1">
      <c r="B39" s="205" t="s">
        <v>387</v>
      </c>
      <c r="C39" s="212"/>
      <c r="D39" s="204">
        <f>'Beta from Regression'!I5</f>
        <v>1.2315351844377869</v>
      </c>
    </row>
    <row r="40" spans="2:4" s="208" customFormat="1">
      <c r="B40" s="205" t="s">
        <v>388</v>
      </c>
      <c r="C40" s="212"/>
      <c r="D40" s="204">
        <f>D39/(1+E20*(1-G20))</f>
        <v>1.1652280180151189</v>
      </c>
    </row>
    <row r="41" spans="2:4" s="208" customFormat="1">
      <c r="B41" s="209"/>
      <c r="C41" s="212"/>
      <c r="D41" s="207"/>
    </row>
    <row r="42" spans="2:4" s="208" customFormat="1">
      <c r="B42" s="209" t="s">
        <v>389</v>
      </c>
      <c r="C42" s="212"/>
      <c r="D42" s="206">
        <f>D40*(1+(D25/D26)*(1-G20))</f>
        <v>1.2556773302969135</v>
      </c>
    </row>
    <row r="44" spans="2:4">
      <c r="B44" s="177" t="s">
        <v>345</v>
      </c>
      <c r="C44" s="177"/>
      <c r="D44" s="177"/>
    </row>
    <row r="45" spans="2:4">
      <c r="B45" s="171" t="s">
        <v>346</v>
      </c>
      <c r="D45" s="180">
        <v>7.3020000000000002E-2</v>
      </c>
    </row>
    <row r="46" spans="2:4">
      <c r="B46" s="171" t="s">
        <v>315</v>
      </c>
      <c r="D46" s="181">
        <f>'Market Return'!F9</f>
        <v>0.11163967531939645</v>
      </c>
    </row>
    <row r="47" spans="2:4">
      <c r="B47" s="171" t="s">
        <v>347</v>
      </c>
      <c r="D47" s="178">
        <f>D46-D45</f>
        <v>3.8619675319396446E-2</v>
      </c>
    </row>
    <row r="48" spans="2:4">
      <c r="B48" s="171" t="s">
        <v>348</v>
      </c>
      <c r="D48" s="179">
        <f>D42</f>
        <v>1.2556773302969135</v>
      </c>
    </row>
    <row r="49" spans="2:4">
      <c r="B49" s="173" t="s">
        <v>345</v>
      </c>
      <c r="C49" s="176"/>
      <c r="D49" s="183">
        <f>D45+D47*D48</f>
        <v>0.12151385080199334</v>
      </c>
    </row>
    <row r="50" spans="2:4" ht="15" thickBot="1">
      <c r="B50" s="171"/>
    </row>
    <row r="51" spans="2:4" ht="15" thickBot="1">
      <c r="B51" s="184" t="s">
        <v>349</v>
      </c>
      <c r="C51" s="170"/>
      <c r="D51" s="185">
        <f>D25*D36+D26*D49</f>
        <v>0.11567105243012768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67"/>
  <sheetViews>
    <sheetView showGridLines="0" workbookViewId="0">
      <selection activeCell="K12" sqref="K12"/>
    </sheetView>
  </sheetViews>
  <sheetFormatPr defaultRowHeight="14.5"/>
  <cols>
    <col min="1" max="1" width="1.81640625" customWidth="1"/>
    <col min="2" max="6" width="12.6328125" customWidth="1"/>
  </cols>
  <sheetData>
    <row r="2" spans="2:9" ht="26">
      <c r="B2" s="192" t="str">
        <f>'Beta &amp; WACC'!B2</f>
        <v>UltraTech Cement Ltd</v>
      </c>
      <c r="C2" s="172"/>
      <c r="D2" s="172"/>
      <c r="E2" s="172"/>
      <c r="F2" s="172"/>
    </row>
    <row r="3" spans="2:9">
      <c r="B3" s="172" t="s">
        <v>351</v>
      </c>
      <c r="C3" s="172"/>
      <c r="D3" s="172"/>
      <c r="E3" s="172"/>
      <c r="F3" s="172"/>
    </row>
    <row r="4" spans="2:9" ht="15" thickBot="1"/>
    <row r="5" spans="2:9">
      <c r="B5" s="190"/>
      <c r="C5" s="190" t="s">
        <v>317</v>
      </c>
      <c r="D5" s="190" t="s">
        <v>353</v>
      </c>
      <c r="E5" s="190" t="s">
        <v>352</v>
      </c>
      <c r="F5" s="190" t="s">
        <v>353</v>
      </c>
      <c r="H5" s="201" t="s">
        <v>331</v>
      </c>
      <c r="I5" s="202">
        <f>SLOPE(F8:F67,D8:D67)</f>
        <v>1.2315351844377869</v>
      </c>
    </row>
    <row r="6" spans="2:9" ht="15" thickBot="1">
      <c r="B6" s="191" t="s">
        <v>316</v>
      </c>
      <c r="C6" s="191" t="s">
        <v>318</v>
      </c>
      <c r="D6" s="191" t="s">
        <v>354</v>
      </c>
      <c r="E6" s="191" t="s">
        <v>318</v>
      </c>
      <c r="F6" s="191" t="s">
        <v>354</v>
      </c>
    </row>
    <row r="7" spans="2:9">
      <c r="B7" s="193">
        <v>44470</v>
      </c>
      <c r="C7" s="194">
        <v>59306.93</v>
      </c>
      <c r="D7" s="190" t="s">
        <v>193</v>
      </c>
      <c r="E7" s="194">
        <v>7632.75</v>
      </c>
      <c r="F7" s="190" t="s">
        <v>193</v>
      </c>
    </row>
    <row r="8" spans="2:9">
      <c r="B8" s="195">
        <v>44501</v>
      </c>
      <c r="C8" s="196">
        <v>57064.87</v>
      </c>
      <c r="D8" s="197">
        <f>C8/C7-1</f>
        <v>-3.7804351026094252E-2</v>
      </c>
      <c r="E8" s="196">
        <v>7434.4</v>
      </c>
      <c r="F8" s="197">
        <f>E8/E7-1</f>
        <v>-2.5986702040548981E-2</v>
      </c>
      <c r="H8" t="s">
        <v>355</v>
      </c>
    </row>
    <row r="9" spans="2:9" ht="15" thickBot="1">
      <c r="B9" s="195">
        <v>44531</v>
      </c>
      <c r="C9" s="196">
        <v>58253.82</v>
      </c>
      <c r="D9" s="197">
        <f t="shared" ref="D9:D67" si="0">C9/C8-1</f>
        <v>2.0835060169242414E-2</v>
      </c>
      <c r="E9" s="196">
        <v>7591.95</v>
      </c>
      <c r="F9" s="197">
        <f t="shared" ref="F9:F67" si="1">E9/E8-1</f>
        <v>2.1192026256321883E-2</v>
      </c>
    </row>
    <row r="10" spans="2:9">
      <c r="B10" s="195">
        <v>44562</v>
      </c>
      <c r="C10" s="196">
        <v>58014.17</v>
      </c>
      <c r="D10" s="197">
        <f t="shared" si="0"/>
        <v>-4.113893303477778E-3</v>
      </c>
      <c r="E10" s="196">
        <v>7214.45</v>
      </c>
      <c r="F10" s="197">
        <f t="shared" si="1"/>
        <v>-4.9723720519761039E-2</v>
      </c>
      <c r="H10" s="189" t="s">
        <v>356</v>
      </c>
      <c r="I10" s="189"/>
    </row>
    <row r="11" spans="2:9">
      <c r="B11" s="195">
        <v>44593</v>
      </c>
      <c r="C11" s="196">
        <v>56247.28</v>
      </c>
      <c r="D11" s="197">
        <f t="shared" si="0"/>
        <v>-3.0456179929834404E-2</v>
      </c>
      <c r="E11" s="196">
        <v>6569.75</v>
      </c>
      <c r="F11" s="197">
        <f t="shared" si="1"/>
        <v>-8.9362321452085669E-2</v>
      </c>
      <c r="H11" s="186" t="s">
        <v>357</v>
      </c>
      <c r="I11" s="186">
        <v>0.74275657931497208</v>
      </c>
    </row>
    <row r="12" spans="2:9">
      <c r="B12" s="195">
        <v>44621</v>
      </c>
      <c r="C12" s="196">
        <v>58568.51</v>
      </c>
      <c r="D12" s="197">
        <f t="shared" si="0"/>
        <v>4.1268306663006626E-2</v>
      </c>
      <c r="E12" s="196">
        <v>6602.15</v>
      </c>
      <c r="F12" s="197">
        <f t="shared" si="1"/>
        <v>4.9316945089235009E-3</v>
      </c>
      <c r="H12" s="186" t="s">
        <v>358</v>
      </c>
      <c r="I12" s="186">
        <v>0.55168733611567844</v>
      </c>
    </row>
    <row r="13" spans="2:9">
      <c r="B13" s="195">
        <v>44652</v>
      </c>
      <c r="C13" s="196">
        <v>57060.87</v>
      </c>
      <c r="D13" s="197">
        <f t="shared" si="0"/>
        <v>-2.5741477800954815E-2</v>
      </c>
      <c r="E13" s="196">
        <v>6629</v>
      </c>
      <c r="F13" s="197">
        <f t="shared" si="1"/>
        <v>4.0668570087016853E-3</v>
      </c>
      <c r="H13" s="186" t="s">
        <v>359</v>
      </c>
      <c r="I13" s="186">
        <v>0.54395780742801769</v>
      </c>
    </row>
    <row r="14" spans="2:9">
      <c r="B14" s="195">
        <v>44682</v>
      </c>
      <c r="C14" s="196">
        <v>55566.41</v>
      </c>
      <c r="D14" s="197">
        <f t="shared" si="0"/>
        <v>-2.6190627657797672E-2</v>
      </c>
      <c r="E14" s="196">
        <v>6083.1</v>
      </c>
      <c r="F14" s="197">
        <f t="shared" si="1"/>
        <v>-8.2350279076783828E-2</v>
      </c>
      <c r="H14" s="186" t="s">
        <v>360</v>
      </c>
      <c r="I14" s="186">
        <v>4.2636760735519759E-2</v>
      </c>
    </row>
    <row r="15" spans="2:9" ht="15" thickBot="1">
      <c r="B15" s="195">
        <v>44713</v>
      </c>
      <c r="C15" s="196">
        <v>53018.94</v>
      </c>
      <c r="D15" s="197">
        <f t="shared" si="0"/>
        <v>-4.5845502705681329E-2</v>
      </c>
      <c r="E15" s="196">
        <v>5599.95</v>
      </c>
      <c r="F15" s="197">
        <f t="shared" si="1"/>
        <v>-7.9424964245204066E-2</v>
      </c>
      <c r="H15" s="187" t="s">
        <v>361</v>
      </c>
      <c r="I15" s="187">
        <v>60</v>
      </c>
    </row>
    <row r="16" spans="2:9">
      <c r="B16" s="195">
        <v>44743</v>
      </c>
      <c r="C16" s="196">
        <v>57570.25</v>
      </c>
      <c r="D16" s="197">
        <f t="shared" si="0"/>
        <v>8.5843096825398479E-2</v>
      </c>
      <c r="E16" s="196">
        <v>6545.9</v>
      </c>
      <c r="F16" s="197">
        <f t="shared" si="1"/>
        <v>0.16892115108170613</v>
      </c>
    </row>
    <row r="17" spans="2:16" ht="15" thickBot="1">
      <c r="B17" s="195">
        <v>44774</v>
      </c>
      <c r="C17" s="196">
        <v>59537.07</v>
      </c>
      <c r="D17" s="197">
        <f t="shared" si="0"/>
        <v>3.4163825934401926E-2</v>
      </c>
      <c r="E17" s="196">
        <v>6672.5</v>
      </c>
      <c r="F17" s="197">
        <f t="shared" si="1"/>
        <v>1.9340350448372234E-2</v>
      </c>
      <c r="H17" t="s">
        <v>362</v>
      </c>
    </row>
    <row r="18" spans="2:16">
      <c r="B18" s="195">
        <v>44805</v>
      </c>
      <c r="C18" s="196">
        <v>57426.92</v>
      </c>
      <c r="D18" s="197">
        <f t="shared" si="0"/>
        <v>-3.5442624233943731E-2</v>
      </c>
      <c r="E18" s="196">
        <v>6249.85</v>
      </c>
      <c r="F18" s="197">
        <f t="shared" si="1"/>
        <v>-6.3342075683776589E-2</v>
      </c>
      <c r="H18" s="188"/>
      <c r="I18" s="188" t="s">
        <v>366</v>
      </c>
      <c r="J18" s="188" t="s">
        <v>367</v>
      </c>
      <c r="K18" s="188" t="s">
        <v>368</v>
      </c>
      <c r="L18" s="188" t="s">
        <v>369</v>
      </c>
      <c r="M18" s="188" t="s">
        <v>370</v>
      </c>
    </row>
    <row r="19" spans="2:16">
      <c r="B19" s="195">
        <v>44835</v>
      </c>
      <c r="C19" s="196">
        <v>60746.59</v>
      </c>
      <c r="D19" s="197">
        <f t="shared" si="0"/>
        <v>5.7806861311733293E-2</v>
      </c>
      <c r="E19" s="196">
        <v>6713.35</v>
      </c>
      <c r="F19" s="197">
        <f t="shared" si="1"/>
        <v>7.4161779882717216E-2</v>
      </c>
      <c r="H19" s="186" t="s">
        <v>363</v>
      </c>
      <c r="I19" s="186">
        <v>1</v>
      </c>
      <c r="J19" s="186">
        <v>0.12975031065501291</v>
      </c>
      <c r="K19" s="186">
        <v>0.12975031065501291</v>
      </c>
      <c r="L19" s="186">
        <v>71.373994250953814</v>
      </c>
      <c r="M19" s="186">
        <v>1.0905747197816723E-11</v>
      </c>
    </row>
    <row r="20" spans="2:16">
      <c r="B20" s="195">
        <v>44866</v>
      </c>
      <c r="C20" s="196">
        <v>63099.65</v>
      </c>
      <c r="D20" s="197">
        <f t="shared" si="0"/>
        <v>3.8735672241026364E-2</v>
      </c>
      <c r="E20" s="196">
        <v>7076.75</v>
      </c>
      <c r="F20" s="197">
        <f t="shared" si="1"/>
        <v>5.4130948036375193E-2</v>
      </c>
      <c r="H20" s="186" t="s">
        <v>364</v>
      </c>
      <c r="I20" s="186">
        <v>58</v>
      </c>
      <c r="J20" s="186">
        <v>0.10543781522904165</v>
      </c>
      <c r="K20" s="186">
        <v>1.8178933660179595E-3</v>
      </c>
      <c r="L20" s="186"/>
      <c r="M20" s="186"/>
    </row>
    <row r="21" spans="2:16" ht="15" thickBot="1">
      <c r="B21" s="195">
        <v>44896</v>
      </c>
      <c r="C21" s="196">
        <v>60840.74</v>
      </c>
      <c r="D21" s="197">
        <f t="shared" si="0"/>
        <v>-3.5799089218403024E-2</v>
      </c>
      <c r="E21" s="196">
        <v>6959.05</v>
      </c>
      <c r="F21" s="197">
        <f t="shared" si="1"/>
        <v>-1.6631928498251236E-2</v>
      </c>
      <c r="H21" s="187" t="s">
        <v>213</v>
      </c>
      <c r="I21" s="187">
        <v>59</v>
      </c>
      <c r="J21" s="187">
        <v>0.23518812588405458</v>
      </c>
      <c r="K21" s="187"/>
      <c r="L21" s="187"/>
      <c r="M21" s="187"/>
    </row>
    <row r="22" spans="2:16" ht="15" thickBot="1">
      <c r="B22" s="195">
        <v>44927</v>
      </c>
      <c r="C22" s="196">
        <v>59549.9</v>
      </c>
      <c r="D22" s="197">
        <f t="shared" si="0"/>
        <v>-2.1216704464804281E-2</v>
      </c>
      <c r="E22" s="196">
        <v>7089.1</v>
      </c>
      <c r="F22" s="197">
        <f t="shared" si="1"/>
        <v>1.8687895617936379E-2</v>
      </c>
    </row>
    <row r="23" spans="2:16">
      <c r="B23" s="195">
        <v>44958</v>
      </c>
      <c r="C23" s="196">
        <v>58962.12</v>
      </c>
      <c r="D23" s="197">
        <f t="shared" si="0"/>
        <v>-9.8703776160833367E-3</v>
      </c>
      <c r="E23" s="196">
        <v>7263.05</v>
      </c>
      <c r="F23" s="197">
        <f t="shared" si="1"/>
        <v>2.4537670508244958E-2</v>
      </c>
      <c r="H23" s="188"/>
      <c r="I23" s="188" t="s">
        <v>371</v>
      </c>
      <c r="J23" s="188" t="s">
        <v>360</v>
      </c>
      <c r="K23" s="188" t="s">
        <v>372</v>
      </c>
      <c r="L23" s="188" t="s">
        <v>373</v>
      </c>
      <c r="M23" s="188" t="s">
        <v>374</v>
      </c>
      <c r="N23" s="188" t="s">
        <v>375</v>
      </c>
      <c r="O23" s="188" t="s">
        <v>376</v>
      </c>
      <c r="P23" s="188" t="s">
        <v>377</v>
      </c>
    </row>
    <row r="24" spans="2:16">
      <c r="B24" s="195">
        <v>44986</v>
      </c>
      <c r="C24" s="196">
        <v>58991.519999999997</v>
      </c>
      <c r="D24" s="197">
        <f t="shared" si="0"/>
        <v>4.9862521903887291E-4</v>
      </c>
      <c r="E24" s="196">
        <v>7620</v>
      </c>
      <c r="F24" s="197">
        <f t="shared" si="1"/>
        <v>4.9146019922759798E-2</v>
      </c>
      <c r="H24" s="186" t="s">
        <v>365</v>
      </c>
      <c r="I24" s="186">
        <v>2.5302198309403844E-3</v>
      </c>
      <c r="J24" s="186">
        <v>5.5361498436775052E-3</v>
      </c>
      <c r="K24" s="186">
        <v>0.4570360092095398</v>
      </c>
      <c r="L24" s="186">
        <v>0.64935240242323866</v>
      </c>
      <c r="M24" s="186">
        <v>-8.5515881059967883E-3</v>
      </c>
      <c r="N24" s="186">
        <v>1.3612027767877557E-2</v>
      </c>
      <c r="O24" s="186">
        <v>-8.5515881059967883E-3</v>
      </c>
      <c r="P24" s="186">
        <v>1.3612027767877557E-2</v>
      </c>
    </row>
    <row r="25" spans="2:16" ht="15" thickBot="1">
      <c r="B25" s="195">
        <v>45017</v>
      </c>
      <c r="C25" s="196">
        <v>61112.44</v>
      </c>
      <c r="D25" s="197">
        <f t="shared" si="0"/>
        <v>3.5952964087041739E-2</v>
      </c>
      <c r="E25" s="196">
        <v>7554.6</v>
      </c>
      <c r="F25" s="197">
        <f t="shared" si="1"/>
        <v>-8.5826771653543243E-3</v>
      </c>
      <c r="H25" s="187" t="s">
        <v>378</v>
      </c>
      <c r="I25" s="187">
        <v>1.2315351844377871</v>
      </c>
      <c r="J25" s="187">
        <v>0.14577290989672212</v>
      </c>
      <c r="K25" s="187">
        <v>8.4483131009068213</v>
      </c>
      <c r="L25" s="187">
        <v>1.0905747197816721E-11</v>
      </c>
      <c r="M25" s="187">
        <v>0.93973900198279048</v>
      </c>
      <c r="N25" s="187">
        <v>1.5233313668927837</v>
      </c>
      <c r="O25" s="187">
        <v>0.93973900198279048</v>
      </c>
      <c r="P25" s="187">
        <v>1.5233313668927837</v>
      </c>
    </row>
    <row r="26" spans="2:16">
      <c r="B26" s="195">
        <v>45047</v>
      </c>
      <c r="C26" s="196">
        <v>62622.239999999998</v>
      </c>
      <c r="D26" s="197">
        <f t="shared" si="0"/>
        <v>2.4705280954254061E-2</v>
      </c>
      <c r="E26" s="196">
        <v>7873.65</v>
      </c>
      <c r="F26" s="197">
        <f t="shared" si="1"/>
        <v>4.2232547057421854E-2</v>
      </c>
    </row>
    <row r="27" spans="2:16">
      <c r="B27" s="195">
        <v>45078</v>
      </c>
      <c r="C27" s="196">
        <v>64718.559999999998</v>
      </c>
      <c r="D27" s="197">
        <f t="shared" si="0"/>
        <v>3.3475646990589913E-2</v>
      </c>
      <c r="E27" s="196">
        <v>8292.85</v>
      </c>
      <c r="F27" s="197">
        <f t="shared" si="1"/>
        <v>5.3240873038552738E-2</v>
      </c>
    </row>
    <row r="28" spans="2:16">
      <c r="B28" s="195">
        <v>45108</v>
      </c>
      <c r="C28" s="196">
        <v>66527.67</v>
      </c>
      <c r="D28" s="197">
        <f t="shared" si="0"/>
        <v>2.7953495875062684E-2</v>
      </c>
      <c r="E28" s="196">
        <v>8314.9500000000007</v>
      </c>
      <c r="F28" s="197">
        <f t="shared" si="1"/>
        <v>2.6649463091699133E-3</v>
      </c>
    </row>
    <row r="29" spans="2:16">
      <c r="B29" s="195">
        <v>45139</v>
      </c>
      <c r="C29" s="196">
        <v>64831.41</v>
      </c>
      <c r="D29" s="197">
        <f t="shared" si="0"/>
        <v>-2.5497060095445945E-2</v>
      </c>
      <c r="E29" s="196">
        <v>8315.1</v>
      </c>
      <c r="F29" s="197">
        <f t="shared" si="1"/>
        <v>1.8039795789404067E-5</v>
      </c>
    </row>
    <row r="30" spans="2:16">
      <c r="B30" s="195">
        <v>45170</v>
      </c>
      <c r="C30" s="196">
        <v>65828.41</v>
      </c>
      <c r="D30" s="197">
        <f t="shared" si="0"/>
        <v>1.5378348242001794E-2</v>
      </c>
      <c r="E30" s="196">
        <v>8257.5</v>
      </c>
      <c r="F30" s="197">
        <f t="shared" si="1"/>
        <v>-6.9271566186817068E-3</v>
      </c>
    </row>
    <row r="31" spans="2:16">
      <c r="B31" s="195">
        <v>45200</v>
      </c>
      <c r="C31" s="196">
        <v>63874.93</v>
      </c>
      <c r="D31" s="197">
        <f t="shared" si="0"/>
        <v>-2.9675333188208586E-2</v>
      </c>
      <c r="E31" s="196">
        <v>8429.1</v>
      </c>
      <c r="F31" s="197">
        <f t="shared" si="1"/>
        <v>2.0781108083560484E-2</v>
      </c>
    </row>
    <row r="32" spans="2:16">
      <c r="B32" s="195">
        <v>45231</v>
      </c>
      <c r="C32" s="196">
        <v>66988.44</v>
      </c>
      <c r="D32" s="197">
        <f t="shared" si="0"/>
        <v>4.8743849895412916E-2</v>
      </c>
      <c r="E32" s="196">
        <v>9000.65</v>
      </c>
      <c r="F32" s="197">
        <f t="shared" si="1"/>
        <v>6.7806764660521157E-2</v>
      </c>
    </row>
    <row r="33" spans="2:6">
      <c r="B33" s="195">
        <v>45261</v>
      </c>
      <c r="C33" s="196">
        <v>72240.259999999995</v>
      </c>
      <c r="D33" s="197">
        <f t="shared" si="0"/>
        <v>7.8398899869887906E-2</v>
      </c>
      <c r="E33" s="196">
        <v>10503.15</v>
      </c>
      <c r="F33" s="197">
        <f t="shared" si="1"/>
        <v>0.16693238821640666</v>
      </c>
    </row>
    <row r="34" spans="2:6">
      <c r="B34" s="195">
        <v>45292</v>
      </c>
      <c r="C34" s="196">
        <v>71752.11</v>
      </c>
      <c r="D34" s="197">
        <f t="shared" si="0"/>
        <v>-6.7573123352545617E-3</v>
      </c>
      <c r="E34" s="196">
        <v>10167.950000000001</v>
      </c>
      <c r="F34" s="197">
        <f t="shared" si="1"/>
        <v>-3.1914235253233447E-2</v>
      </c>
    </row>
    <row r="35" spans="2:6">
      <c r="B35" s="195">
        <v>45323</v>
      </c>
      <c r="C35" s="196">
        <v>72500.3</v>
      </c>
      <c r="D35" s="197">
        <f t="shared" si="0"/>
        <v>1.0427428545306983E-2</v>
      </c>
      <c r="E35" s="196">
        <v>9901.9</v>
      </c>
      <c r="F35" s="197">
        <f t="shared" si="1"/>
        <v>-2.6165549594559523E-2</v>
      </c>
    </row>
    <row r="36" spans="2:6">
      <c r="B36" s="195">
        <v>45352</v>
      </c>
      <c r="C36" s="196">
        <v>73651.350000000006</v>
      </c>
      <c r="D36" s="197">
        <f t="shared" si="0"/>
        <v>1.5876486028333803E-2</v>
      </c>
      <c r="E36" s="196">
        <v>9745.0499999999993</v>
      </c>
      <c r="F36" s="197">
        <f t="shared" si="1"/>
        <v>-1.5840394267766844E-2</v>
      </c>
    </row>
    <row r="37" spans="2:6">
      <c r="B37" s="195">
        <v>45383</v>
      </c>
      <c r="C37" s="196">
        <v>74482.78</v>
      </c>
      <c r="D37" s="197">
        <f t="shared" si="0"/>
        <v>1.1288727226316908E-2</v>
      </c>
      <c r="E37" s="196">
        <v>9966.75</v>
      </c>
      <c r="F37" s="197">
        <f t="shared" si="1"/>
        <v>2.2750011544322657E-2</v>
      </c>
    </row>
    <row r="38" spans="2:6">
      <c r="B38" s="195">
        <v>45413</v>
      </c>
      <c r="C38" s="196">
        <v>73961.31</v>
      </c>
      <c r="D38" s="197">
        <f t="shared" si="0"/>
        <v>-7.0012155829843881E-3</v>
      </c>
      <c r="E38" s="196">
        <v>9901.35</v>
      </c>
      <c r="F38" s="197">
        <f t="shared" si="1"/>
        <v>-6.5618180449995567E-3</v>
      </c>
    </row>
    <row r="39" spans="2:6">
      <c r="B39" s="195">
        <v>45444</v>
      </c>
      <c r="C39" s="196">
        <v>79032.73</v>
      </c>
      <c r="D39" s="197">
        <f t="shared" si="0"/>
        <v>6.8568552936663751E-2</v>
      </c>
      <c r="E39" s="196">
        <v>11661.3</v>
      </c>
      <c r="F39" s="197">
        <f t="shared" si="1"/>
        <v>0.17774848884243055</v>
      </c>
    </row>
    <row r="40" spans="2:6">
      <c r="B40" s="195">
        <v>45474</v>
      </c>
      <c r="C40" s="196">
        <v>81741.34</v>
      </c>
      <c r="D40" s="197">
        <f t="shared" si="0"/>
        <v>3.427200351044446E-2</v>
      </c>
      <c r="E40" s="196">
        <v>11882.8</v>
      </c>
      <c r="F40" s="197">
        <f t="shared" si="1"/>
        <v>1.8994451733511664E-2</v>
      </c>
    </row>
    <row r="41" spans="2:6">
      <c r="B41" s="195">
        <v>45505</v>
      </c>
      <c r="C41" s="196">
        <v>82365.77</v>
      </c>
      <c r="D41" s="197">
        <f t="shared" si="0"/>
        <v>7.6390966920778514E-3</v>
      </c>
      <c r="E41" s="196">
        <v>11300.65</v>
      </c>
      <c r="F41" s="197">
        <f t="shared" si="1"/>
        <v>-4.8990978557242326E-2</v>
      </c>
    </row>
    <row r="42" spans="2:6">
      <c r="B42" s="195">
        <v>45536</v>
      </c>
      <c r="C42" s="196">
        <v>84299.78</v>
      </c>
      <c r="D42" s="197">
        <f t="shared" si="0"/>
        <v>2.3480749345268004E-2</v>
      </c>
      <c r="E42" s="196">
        <v>11797.6</v>
      </c>
      <c r="F42" s="197">
        <f t="shared" si="1"/>
        <v>4.3975346550862104E-2</v>
      </c>
    </row>
    <row r="43" spans="2:6">
      <c r="B43" s="195">
        <v>45566</v>
      </c>
      <c r="C43" s="196">
        <v>79389.06</v>
      </c>
      <c r="D43" s="197">
        <f t="shared" si="0"/>
        <v>-5.8253058311658723E-2</v>
      </c>
      <c r="E43" s="196">
        <v>11067.65</v>
      </c>
      <c r="F43" s="197">
        <f t="shared" si="1"/>
        <v>-6.1872753780430001E-2</v>
      </c>
    </row>
    <row r="44" spans="2:6">
      <c r="B44" s="195">
        <v>45597</v>
      </c>
      <c r="C44" s="196">
        <v>79802.789999999994</v>
      </c>
      <c r="D44" s="197">
        <f t="shared" si="0"/>
        <v>5.2114233371700625E-3</v>
      </c>
      <c r="E44" s="196">
        <v>11199.5</v>
      </c>
      <c r="F44" s="197">
        <f t="shared" si="1"/>
        <v>1.1913098083152329E-2</v>
      </c>
    </row>
    <row r="45" spans="2:6">
      <c r="B45" s="195">
        <v>45627</v>
      </c>
      <c r="C45" s="196">
        <v>78139.009999999995</v>
      </c>
      <c r="D45" s="197">
        <f t="shared" si="0"/>
        <v>-2.0848644514809611E-2</v>
      </c>
      <c r="E45" s="196">
        <v>11422.45</v>
      </c>
      <c r="F45" s="197">
        <f t="shared" si="1"/>
        <v>1.9907138711549699E-2</v>
      </c>
    </row>
    <row r="46" spans="2:6">
      <c r="B46" s="195">
        <v>45658</v>
      </c>
      <c r="C46" s="196">
        <v>77500.570000000007</v>
      </c>
      <c r="D46" s="197">
        <f t="shared" si="0"/>
        <v>-8.1705667885987321E-3</v>
      </c>
      <c r="E46" s="196">
        <v>11503.3</v>
      </c>
      <c r="F46" s="197">
        <f t="shared" si="1"/>
        <v>7.0781662427936709E-3</v>
      </c>
    </row>
    <row r="47" spans="2:6">
      <c r="B47" s="195">
        <v>45689</v>
      </c>
      <c r="C47" s="196">
        <v>73198.100000000006</v>
      </c>
      <c r="D47" s="197">
        <f t="shared" si="0"/>
        <v>-5.5515333629159169E-2</v>
      </c>
      <c r="E47" s="196">
        <v>10114</v>
      </c>
      <c r="F47" s="197">
        <f t="shared" si="1"/>
        <v>-0.12077403875409665</v>
      </c>
    </row>
    <row r="48" spans="2:6">
      <c r="B48" s="195">
        <v>45717</v>
      </c>
      <c r="C48" s="196">
        <v>77414.92</v>
      </c>
      <c r="D48" s="197">
        <f t="shared" si="0"/>
        <v>5.760832589916931E-2</v>
      </c>
      <c r="E48" s="196">
        <v>11504.5</v>
      </c>
      <c r="F48" s="197">
        <f t="shared" si="1"/>
        <v>0.13748269725133477</v>
      </c>
    </row>
    <row r="49" spans="2:6">
      <c r="B49" s="195">
        <v>45748</v>
      </c>
      <c r="C49" s="196">
        <v>80242.240000000005</v>
      </c>
      <c r="D49" s="197">
        <f t="shared" si="0"/>
        <v>3.652164208139741E-2</v>
      </c>
      <c r="E49" s="196">
        <v>11639.25</v>
      </c>
      <c r="F49" s="197">
        <f t="shared" si="1"/>
        <v>1.1712808031639765E-2</v>
      </c>
    </row>
    <row r="50" spans="2:6">
      <c r="B50" s="195">
        <v>45778</v>
      </c>
      <c r="C50" s="196">
        <v>81451.009999999995</v>
      </c>
      <c r="D50" s="197">
        <f t="shared" si="0"/>
        <v>1.5064011174164449E-2</v>
      </c>
      <c r="E50" s="196">
        <v>11197.25</v>
      </c>
      <c r="F50" s="197">
        <f t="shared" si="1"/>
        <v>-3.7974955430977064E-2</v>
      </c>
    </row>
    <row r="51" spans="2:6">
      <c r="B51" s="195">
        <v>45809</v>
      </c>
      <c r="C51" s="196">
        <v>83606.460000000006</v>
      </c>
      <c r="D51" s="197">
        <f t="shared" si="0"/>
        <v>2.6463146374735125E-2</v>
      </c>
      <c r="E51" s="196">
        <v>12072.35</v>
      </c>
      <c r="F51" s="197">
        <f t="shared" si="1"/>
        <v>7.8153117953068785E-2</v>
      </c>
    </row>
    <row r="52" spans="2:6">
      <c r="B52" s="195">
        <v>45839</v>
      </c>
      <c r="C52" s="196">
        <v>81185.58</v>
      </c>
      <c r="D52" s="197">
        <f t="shared" si="0"/>
        <v>-2.89556572542361E-2</v>
      </c>
      <c r="E52" s="196">
        <v>12238</v>
      </c>
      <c r="F52" s="197">
        <f t="shared" si="1"/>
        <v>1.3721437831076821E-2</v>
      </c>
    </row>
    <row r="53" spans="2:6">
      <c r="B53" s="195">
        <v>45870</v>
      </c>
      <c r="C53" s="196">
        <v>79809.649999999994</v>
      </c>
      <c r="D53" s="197">
        <f t="shared" si="0"/>
        <v>-1.6947960462929568E-2</v>
      </c>
      <c r="E53" s="196">
        <v>12637.25</v>
      </c>
      <c r="F53" s="197">
        <f t="shared" si="1"/>
        <v>3.2623794737702161E-2</v>
      </c>
    </row>
    <row r="54" spans="2:6">
      <c r="B54" s="195">
        <v>45901</v>
      </c>
      <c r="C54" s="196">
        <v>80267.62</v>
      </c>
      <c r="D54" s="197">
        <f t="shared" si="0"/>
        <v>5.7382785164450389E-3</v>
      </c>
      <c r="E54" s="196">
        <v>12223.9</v>
      </c>
      <c r="F54" s="197">
        <f t="shared" si="1"/>
        <v>-3.2708856752853732E-2</v>
      </c>
    </row>
    <row r="55" spans="2:6">
      <c r="B55" s="195">
        <v>45931</v>
      </c>
      <c r="C55" s="196">
        <v>83938.71</v>
      </c>
      <c r="D55" s="197">
        <f t="shared" si="0"/>
        <v>4.5735627890798547E-2</v>
      </c>
      <c r="E55" s="196">
        <v>11946.8</v>
      </c>
      <c r="F55" s="197">
        <f t="shared" si="1"/>
        <v>-2.2668706386668735E-2</v>
      </c>
    </row>
    <row r="56" spans="2:6">
      <c r="B56" s="195">
        <v>45962</v>
      </c>
      <c r="C56" s="196">
        <v>85706.67</v>
      </c>
      <c r="D56" s="197">
        <f t="shared" si="0"/>
        <v>2.1062510967823966E-2</v>
      </c>
      <c r="E56" s="196">
        <v>11600</v>
      </c>
      <c r="F56" s="197">
        <f t="shared" si="1"/>
        <v>-2.9028693876184342E-2</v>
      </c>
    </row>
    <row r="57" spans="2:6">
      <c r="B57" s="195">
        <v>45992</v>
      </c>
      <c r="C57" s="196">
        <v>85220.6</v>
      </c>
      <c r="D57" s="197">
        <f t="shared" si="0"/>
        <v>-5.6713205634986164E-3</v>
      </c>
      <c r="E57" s="196">
        <v>11785.45</v>
      </c>
      <c r="F57" s="197">
        <f t="shared" si="1"/>
        <v>1.598706896551727E-2</v>
      </c>
    </row>
    <row r="58" spans="2:6">
      <c r="B58" s="195">
        <v>46023</v>
      </c>
      <c r="C58" s="196">
        <v>82269.78</v>
      </c>
      <c r="D58" s="197">
        <f t="shared" si="0"/>
        <v>-3.4625665625447444E-2</v>
      </c>
      <c r="E58" s="196">
        <v>12700.05</v>
      </c>
      <c r="F58" s="197">
        <f t="shared" si="1"/>
        <v>7.7604164457021119E-2</v>
      </c>
    </row>
    <row r="59" spans="2:6">
      <c r="B59" s="195">
        <v>46054</v>
      </c>
      <c r="C59" s="196">
        <v>81287.19</v>
      </c>
      <c r="D59" s="197">
        <f t="shared" si="0"/>
        <v>-1.1943510727754458E-2</v>
      </c>
      <c r="E59" s="196">
        <v>12680.25</v>
      </c>
      <c r="F59" s="197">
        <f t="shared" si="1"/>
        <v>-1.5590489801220464E-3</v>
      </c>
    </row>
    <row r="60" spans="2:6">
      <c r="B60" s="195">
        <v>46082</v>
      </c>
      <c r="C60" s="196">
        <v>71947.55</v>
      </c>
      <c r="D60" s="197">
        <f t="shared" si="0"/>
        <v>-0.11489682445659644</v>
      </c>
      <c r="E60" s="196">
        <v>10744.95</v>
      </c>
      <c r="F60" s="197">
        <f t="shared" si="1"/>
        <v>-0.15262317383332347</v>
      </c>
    </row>
    <row r="61" spans="2:6">
      <c r="B61" s="195">
        <v>46113</v>
      </c>
      <c r="C61" s="196">
        <v>76913.5</v>
      </c>
      <c r="D61" s="197">
        <f t="shared" si="0"/>
        <v>6.9021808247813787E-2</v>
      </c>
      <c r="E61" s="196">
        <v>11582.8</v>
      </c>
      <c r="F61" s="197">
        <f t="shared" si="1"/>
        <v>7.7976165547536169E-2</v>
      </c>
    </row>
    <row r="62" spans="2:6">
      <c r="B62" s="195">
        <v>46143</v>
      </c>
      <c r="C62" s="196">
        <v>74775.740000000005</v>
      </c>
      <c r="D62" s="197">
        <f t="shared" si="0"/>
        <v>-2.7794340395379202E-2</v>
      </c>
      <c r="E62" s="196">
        <v>11449.3</v>
      </c>
      <c r="F62" s="197">
        <f t="shared" si="1"/>
        <v>-1.1525710536312461E-2</v>
      </c>
    </row>
    <row r="63" spans="2:6">
      <c r="B63" s="195">
        <v>46174</v>
      </c>
      <c r="C63" s="196">
        <v>76478.67</v>
      </c>
      <c r="D63" s="197">
        <f t="shared" si="0"/>
        <v>2.2773830121908478E-2</v>
      </c>
      <c r="E63" s="196">
        <v>11269.85</v>
      </c>
      <c r="F63" s="197">
        <f t="shared" si="1"/>
        <v>-1.5673447284986763E-2</v>
      </c>
    </row>
    <row r="64" spans="2:6">
      <c r="B64" s="195">
        <v>46204</v>
      </c>
      <c r="C64" s="196">
        <v>78094.64</v>
      </c>
      <c r="D64" s="197">
        <f t="shared" si="0"/>
        <v>2.1129682302268193E-2</v>
      </c>
      <c r="E64" s="196">
        <v>11904.7</v>
      </c>
      <c r="F64" s="197">
        <f t="shared" si="1"/>
        <v>5.6331716926134812E-2</v>
      </c>
    </row>
    <row r="65" spans="2:6">
      <c r="B65" s="195">
        <v>46235</v>
      </c>
      <c r="C65" s="196">
        <v>76957.27</v>
      </c>
      <c r="D65" s="197">
        <f t="shared" si="0"/>
        <v>-1.4563995685235143E-2</v>
      </c>
      <c r="E65" s="196">
        <v>11500</v>
      </c>
      <c r="F65" s="197">
        <f t="shared" si="1"/>
        <v>-3.3994976773879304E-2</v>
      </c>
    </row>
    <row r="66" spans="2:6">
      <c r="B66" s="195">
        <v>46266</v>
      </c>
      <c r="C66" s="196">
        <v>72480.289999999994</v>
      </c>
      <c r="D66" s="197">
        <f t="shared" si="0"/>
        <v>-5.81748806837874E-2</v>
      </c>
      <c r="E66" s="196">
        <v>10975</v>
      </c>
      <c r="F66" s="197">
        <f t="shared" si="1"/>
        <v>-4.5652173913043437E-2</v>
      </c>
    </row>
    <row r="67" spans="2:6" ht="15" thickBot="1">
      <c r="B67" s="198">
        <v>46296</v>
      </c>
      <c r="C67" s="199">
        <v>72472.33</v>
      </c>
      <c r="D67" s="200">
        <f t="shared" si="0"/>
        <v>-1.0982296014527826E-4</v>
      </c>
      <c r="E67" s="199">
        <v>10680</v>
      </c>
      <c r="F67" s="200">
        <f t="shared" si="1"/>
        <v>-2.6879271070615052E-2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Index</vt:lpstr>
      <vt:lpstr>Summary</vt:lpstr>
      <vt:lpstr>Assumptions</vt:lpstr>
      <vt:lpstr>Data Sheet</vt:lpstr>
      <vt:lpstr>Model</vt:lpstr>
      <vt:lpstr>Comps Data</vt:lpstr>
      <vt:lpstr>Ratio Analysis</vt:lpstr>
      <vt:lpstr>Market Return</vt:lpstr>
      <vt:lpstr>Beta &amp; WACC</vt:lpstr>
      <vt:lpstr>Beta from Regression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Godhwani Capital</dc:creator>
  <cp:lastModifiedBy>Godhwani Capital</cp:lastModifiedBy>
  <dcterms:created xsi:type="dcterms:W3CDTF">2026-10-05T10:09:07Z</dcterms:created>
  <dcterms:modified xsi:type="dcterms:W3CDTF">2026-10-13T17:40:54Z</dcterms:modified>
</cp:coreProperties>
</file>