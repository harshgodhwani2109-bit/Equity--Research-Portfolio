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0" yWindow="80" windowWidth="19140" windowHeight="7340"/>
  </bookViews>
  <sheets>
    <sheet name="Index" sheetId="1" r:id="rId1"/>
    <sheet name="Summary" sheetId="3" r:id="rId2"/>
    <sheet name="Assumptions " sheetId="15" r:id="rId3"/>
    <sheet name="Data Sheet" sheetId="7" r:id="rId4"/>
    <sheet name="Model" sheetId="8" r:id="rId5"/>
    <sheet name="Comps Data" sheetId="10" r:id="rId6"/>
    <sheet name="Ratio Analysis" sheetId="9" r:id="rId7"/>
    <sheet name="Market Return" sheetId="12" r:id="rId8"/>
    <sheet name="Beta &amp; WACC " sheetId="13" r:id="rId9"/>
    <sheet name="Beta from Regression" sheetId="14" r:id="rId10"/>
  </sheets>
  <calcPr calcId="144525"/>
  <fileRecoveryPr repairLoad="1"/>
</workbook>
</file>

<file path=xl/calcChain.xml><?xml version="1.0" encoding="utf-8"?>
<calcChain xmlns="http://schemas.openxmlformats.org/spreadsheetml/2006/main">
  <c r="C159" i="8" l="1"/>
  <c r="C161" i="8"/>
  <c r="H149" i="8" l="1"/>
  <c r="H14" i="8" l="1"/>
  <c r="D23" i="13"/>
  <c r="J9" i="13"/>
  <c r="N143" i="8"/>
  <c r="P137" i="8"/>
  <c r="N137" i="8" l="1"/>
  <c r="I190" i="8" l="1"/>
  <c r="H190" i="8"/>
  <c r="I189" i="8"/>
  <c r="H189" i="8"/>
  <c r="G204" i="8"/>
  <c r="I187" i="8"/>
  <c r="H187" i="8"/>
  <c r="I186" i="8"/>
  <c r="H186" i="8"/>
  <c r="I9" i="3"/>
  <c r="I10" i="3"/>
  <c r="I11" i="3"/>
  <c r="H156" i="8"/>
  <c r="H157" i="8" s="1"/>
  <c r="H155" i="8"/>
  <c r="D11" i="9"/>
  <c r="E11" i="9"/>
  <c r="F11" i="9"/>
  <c r="G11" i="9"/>
  <c r="C11" i="9"/>
  <c r="E20" i="9"/>
  <c r="F20" i="9"/>
  <c r="G20" i="9"/>
  <c r="H20" i="9"/>
  <c r="I20" i="9"/>
  <c r="J20" i="9"/>
  <c r="K20" i="9"/>
  <c r="L20" i="9"/>
  <c r="M20" i="9"/>
  <c r="N20" i="9"/>
  <c r="O20" i="9"/>
  <c r="P20" i="9"/>
  <c r="Q20" i="9"/>
  <c r="D20" i="9"/>
  <c r="C141" i="7" l="1"/>
  <c r="C156" i="7" s="1"/>
  <c r="C159" i="7" s="1"/>
  <c r="D159" i="7"/>
  <c r="F159" i="7"/>
  <c r="G159" i="7"/>
  <c r="D156" i="7"/>
  <c r="F156" i="7"/>
  <c r="G156" i="7"/>
  <c r="D155" i="7"/>
  <c r="E155" i="7"/>
  <c r="F155" i="7"/>
  <c r="G155" i="7"/>
  <c r="C155" i="7"/>
  <c r="D141" i="7"/>
  <c r="E141" i="7"/>
  <c r="F141" i="7"/>
  <c r="G141" i="7"/>
  <c r="D124" i="7"/>
  <c r="E124" i="7"/>
  <c r="F124" i="7"/>
  <c r="G124" i="7"/>
  <c r="C124" i="7"/>
  <c r="D122" i="7"/>
  <c r="E122" i="7"/>
  <c r="F122" i="7"/>
  <c r="G122" i="7"/>
  <c r="C122" i="7"/>
  <c r="C85" i="7"/>
  <c r="E156" i="7" l="1"/>
  <c r="E159" i="7" s="1"/>
  <c r="L138" i="8" l="1"/>
  <c r="K138" i="8"/>
  <c r="J138" i="8"/>
  <c r="G138" i="8"/>
  <c r="F138" i="8"/>
  <c r="D138" i="8"/>
  <c r="C138" i="8"/>
  <c r="B138" i="8"/>
  <c r="H96" i="8" l="1"/>
  <c r="F7" i="3"/>
  <c r="F8" i="3" s="1"/>
  <c r="F9" i="3" s="1"/>
  <c r="F10" i="3" s="1"/>
  <c r="F11" i="3" s="1"/>
  <c r="F204" i="8" l="1"/>
  <c r="E204" i="8" s="1"/>
  <c r="H204" i="8"/>
  <c r="I204" i="8" s="1"/>
  <c r="H195" i="8"/>
  <c r="I195" i="8" s="1"/>
  <c r="F195" i="8"/>
  <c r="E195" i="8" s="1"/>
  <c r="H184" i="8"/>
  <c r="I184" i="8" s="1"/>
  <c r="H182" i="8"/>
  <c r="I182" i="8" s="1"/>
  <c r="E174" i="8"/>
  <c r="O167" i="8"/>
  <c r="F167" i="8" l="1"/>
  <c r="G167" i="8"/>
  <c r="H167" i="8"/>
  <c r="I167" i="8"/>
  <c r="J167" i="8"/>
  <c r="K167" i="8"/>
  <c r="L167" i="8"/>
  <c r="M167" i="8"/>
  <c r="N167" i="8"/>
  <c r="E167" i="8"/>
  <c r="G168" i="8"/>
  <c r="H168" i="8" s="1"/>
  <c r="I168" i="8" s="1"/>
  <c r="J168" i="8" s="1"/>
  <c r="K168" i="8" s="1"/>
  <c r="L168" i="8" s="1"/>
  <c r="M168" i="8" s="1"/>
  <c r="N168" i="8" s="1"/>
  <c r="F168" i="8"/>
  <c r="D167" i="8"/>
  <c r="G166" i="8"/>
  <c r="H166" i="8" s="1"/>
  <c r="I166" i="8" s="1"/>
  <c r="J166" i="8" s="1"/>
  <c r="K166" i="8" s="1"/>
  <c r="L166" i="8" s="1"/>
  <c r="M166" i="8" s="1"/>
  <c r="N166" i="8" s="1"/>
  <c r="F166" i="8"/>
  <c r="E166" i="8"/>
  <c r="C162" i="8"/>
  <c r="E169" i="8" l="1"/>
  <c r="G169" i="8"/>
  <c r="H169" i="8"/>
  <c r="I169" i="8"/>
  <c r="M169" i="8"/>
  <c r="N169" i="8"/>
  <c r="K169" i="8"/>
  <c r="L169" i="8"/>
  <c r="J169" i="8"/>
  <c r="F169" i="8"/>
  <c r="I5" i="14"/>
  <c r="F8" i="14"/>
  <c r="F9" i="14"/>
  <c r="F10" i="14"/>
  <c r="F11" i="14"/>
  <c r="F12" i="14"/>
  <c r="F13" i="14"/>
  <c r="F14" i="14"/>
  <c r="F15" i="14"/>
  <c r="F16" i="14"/>
  <c r="F17" i="14"/>
  <c r="F18" i="14"/>
  <c r="F19" i="14"/>
  <c r="F20" i="14"/>
  <c r="F21" i="14"/>
  <c r="F22" i="14"/>
  <c r="F23" i="14"/>
  <c r="F24" i="14"/>
  <c r="F25" i="14"/>
  <c r="F26" i="14"/>
  <c r="F27" i="14"/>
  <c r="F28" i="14"/>
  <c r="F29" i="14"/>
  <c r="F30" i="14"/>
  <c r="F31" i="14"/>
  <c r="F32" i="14"/>
  <c r="F33" i="14"/>
  <c r="F34" i="14"/>
  <c r="F35" i="14"/>
  <c r="F36" i="14"/>
  <c r="F37" i="14"/>
  <c r="F38" i="14"/>
  <c r="F39" i="14"/>
  <c r="F40" i="14"/>
  <c r="F41" i="14"/>
  <c r="F42" i="14"/>
  <c r="F43" i="14"/>
  <c r="F44" i="14"/>
  <c r="F45" i="14"/>
  <c r="F46" i="14"/>
  <c r="F47" i="14"/>
  <c r="F48" i="14"/>
  <c r="F49" i="14"/>
  <c r="F50" i="14"/>
  <c r="F51" i="14"/>
  <c r="F52" i="14"/>
  <c r="F53" i="14"/>
  <c r="F54" i="14"/>
  <c r="F55" i="14"/>
  <c r="F56" i="14"/>
  <c r="F57" i="14"/>
  <c r="F58" i="14"/>
  <c r="F59" i="14"/>
  <c r="F60" i="14"/>
  <c r="F61" i="14"/>
  <c r="F62" i="14"/>
  <c r="F63" i="14"/>
  <c r="F64" i="14"/>
  <c r="F65" i="14"/>
  <c r="F66" i="14"/>
  <c r="F67" i="14"/>
  <c r="D9" i="14"/>
  <c r="D10" i="14"/>
  <c r="D11" i="14"/>
  <c r="D12" i="14"/>
  <c r="D13" i="14"/>
  <c r="D14" i="14"/>
  <c r="D15" i="14"/>
  <c r="D16" i="14"/>
  <c r="D17" i="14"/>
  <c r="D18" i="14"/>
  <c r="D19" i="14"/>
  <c r="D20" i="14"/>
  <c r="D21" i="14"/>
  <c r="D22" i="14"/>
  <c r="D23" i="14"/>
  <c r="D24" i="14"/>
  <c r="D25" i="14"/>
  <c r="D26" i="14"/>
  <c r="D27" i="14"/>
  <c r="D28" i="14"/>
  <c r="D29" i="14"/>
  <c r="D30" i="14"/>
  <c r="D31" i="14"/>
  <c r="D32" i="14"/>
  <c r="D33" i="14"/>
  <c r="D34" i="14"/>
  <c r="D35" i="14"/>
  <c r="D36" i="14"/>
  <c r="D37" i="14"/>
  <c r="D38" i="14"/>
  <c r="D39" i="14"/>
  <c r="D40" i="14"/>
  <c r="D41" i="14"/>
  <c r="D42" i="14"/>
  <c r="D43" i="14"/>
  <c r="D44" i="14"/>
  <c r="D45" i="14"/>
  <c r="D46" i="14"/>
  <c r="D47" i="14"/>
  <c r="D48" i="14"/>
  <c r="D49" i="14"/>
  <c r="D50" i="14"/>
  <c r="D51" i="14"/>
  <c r="D52" i="14"/>
  <c r="D53" i="14"/>
  <c r="D54" i="14"/>
  <c r="D55" i="14"/>
  <c r="D56" i="14"/>
  <c r="D57" i="14"/>
  <c r="D58" i="14"/>
  <c r="D59" i="14"/>
  <c r="D60" i="14"/>
  <c r="D61" i="14"/>
  <c r="D62" i="14"/>
  <c r="D63" i="14"/>
  <c r="D64" i="14"/>
  <c r="D65" i="14"/>
  <c r="D66" i="14"/>
  <c r="D67" i="14"/>
  <c r="D8" i="14"/>
  <c r="D39" i="13"/>
  <c r="D38" i="13"/>
  <c r="D32" i="13"/>
  <c r="I16" i="13"/>
  <c r="H18" i="13"/>
  <c r="D33" i="13" s="1"/>
  <c r="C158" i="8" s="1"/>
  <c r="I15" i="13"/>
  <c r="H11" i="13"/>
  <c r="H12" i="13"/>
  <c r="H13" i="13"/>
  <c r="H10" i="13"/>
  <c r="H9" i="13"/>
  <c r="H9" i="12"/>
  <c r="H8" i="12"/>
  <c r="G150" i="8"/>
  <c r="G151" i="8"/>
  <c r="G149" i="8"/>
  <c r="E150" i="8"/>
  <c r="E151" i="8" s="1"/>
  <c r="E149" i="8"/>
  <c r="B151" i="8"/>
  <c r="B150" i="8"/>
  <c r="B149" i="8"/>
  <c r="L139" i="8"/>
  <c r="L140" i="8"/>
  <c r="L141" i="8"/>
  <c r="L137" i="8"/>
  <c r="J139" i="8"/>
  <c r="J140" i="8"/>
  <c r="J141" i="8"/>
  <c r="J137" i="8"/>
  <c r="G137" i="8"/>
  <c r="G139" i="8"/>
  <c r="G140" i="8"/>
  <c r="G141" i="8"/>
  <c r="F139" i="8"/>
  <c r="E11" i="13" s="1"/>
  <c r="F140" i="8"/>
  <c r="E12" i="13" s="1"/>
  <c r="F141" i="8"/>
  <c r="E13" i="13" s="1"/>
  <c r="E10" i="13"/>
  <c r="F137" i="8"/>
  <c r="E9" i="13" s="1"/>
  <c r="E137" i="8"/>
  <c r="H137" i="8" s="1"/>
  <c r="D137" i="8"/>
  <c r="D139" i="8"/>
  <c r="E139" i="8" s="1"/>
  <c r="H139" i="8" s="1"/>
  <c r="D140" i="8"/>
  <c r="D141" i="8"/>
  <c r="C139" i="8"/>
  <c r="C140" i="8"/>
  <c r="E140" i="8" s="1"/>
  <c r="C141" i="8"/>
  <c r="E141" i="8" s="1"/>
  <c r="E138" i="8"/>
  <c r="D10" i="13" s="1"/>
  <c r="C137" i="8"/>
  <c r="B139" i="8"/>
  <c r="B140" i="8"/>
  <c r="B141" i="8"/>
  <c r="B137" i="8"/>
  <c r="L135" i="8"/>
  <c r="J135" i="8"/>
  <c r="G135" i="8"/>
  <c r="F135" i="8"/>
  <c r="E18" i="13" s="1"/>
  <c r="D135" i="8"/>
  <c r="C135" i="8"/>
  <c r="E135" i="8" s="1"/>
  <c r="B135" i="8"/>
  <c r="D18" i="13" l="1"/>
  <c r="D27" i="13" s="1"/>
  <c r="P135" i="8"/>
  <c r="H16" i="13"/>
  <c r="D12" i="13"/>
  <c r="P140" i="8"/>
  <c r="H140" i="8"/>
  <c r="N139" i="8"/>
  <c r="K139" i="8"/>
  <c r="O139" i="8" s="1"/>
  <c r="P141" i="8"/>
  <c r="D13" i="13"/>
  <c r="F13" i="13" s="1"/>
  <c r="J13" i="13" s="1"/>
  <c r="H141" i="8"/>
  <c r="K137" i="8"/>
  <c r="O137" i="8" s="1"/>
  <c r="P139" i="8"/>
  <c r="D11" i="13"/>
  <c r="F11" i="13" s="1"/>
  <c r="J11" i="13" s="1"/>
  <c r="H135" i="8"/>
  <c r="D9" i="13"/>
  <c r="D34" i="13"/>
  <c r="H138" i="8"/>
  <c r="P138" i="8"/>
  <c r="F9" i="13"/>
  <c r="G18" i="13"/>
  <c r="D24" i="13" s="1"/>
  <c r="D28" i="13"/>
  <c r="D29" i="13" s="1"/>
  <c r="G9" i="13"/>
  <c r="F12" i="13"/>
  <c r="J12" i="13" s="1"/>
  <c r="F10" i="13"/>
  <c r="J10" i="13" s="1"/>
  <c r="H15" i="13"/>
  <c r="F18" i="13"/>
  <c r="J18" i="13" s="1"/>
  <c r="G13" i="13"/>
  <c r="G12" i="13"/>
  <c r="G11" i="13"/>
  <c r="G10" i="13"/>
  <c r="G16" i="13" l="1"/>
  <c r="K135" i="8"/>
  <c r="O135" i="8" s="1"/>
  <c r="N135" i="8"/>
  <c r="K141" i="8"/>
  <c r="O141" i="8" s="1"/>
  <c r="N141" i="8"/>
  <c r="O138" i="8"/>
  <c r="N138" i="8"/>
  <c r="P143" i="8"/>
  <c r="P144" i="8"/>
  <c r="C151" i="8" s="1"/>
  <c r="F151" i="8" s="1"/>
  <c r="N140" i="8"/>
  <c r="K140" i="8"/>
  <c r="O140" i="8" s="1"/>
  <c r="F15" i="13"/>
  <c r="N144" i="8"/>
  <c r="C149" i="8" s="1"/>
  <c r="D149" i="8" s="1"/>
  <c r="J15" i="13"/>
  <c r="F16" i="13"/>
  <c r="J16" i="13"/>
  <c r="D40" i="13" s="1"/>
  <c r="D41" i="13" s="1"/>
  <c r="D43" i="13" s="1"/>
  <c r="G15" i="13"/>
  <c r="D188" i="8" l="1"/>
  <c r="D207" i="8"/>
  <c r="D198" i="8"/>
  <c r="O143" i="8"/>
  <c r="O144" i="8"/>
  <c r="C150" i="8" s="1"/>
  <c r="D150" i="8" s="1"/>
  <c r="D11" i="3"/>
  <c r="H151" i="8"/>
  <c r="E11" i="3" s="1"/>
  <c r="G11" i="3" s="1"/>
  <c r="H11" i="3" s="1"/>
  <c r="D151" i="8"/>
  <c r="C11" i="3" s="1"/>
  <c r="C10" i="3"/>
  <c r="F149" i="8"/>
  <c r="E34" i="9"/>
  <c r="E35" i="9" s="1"/>
  <c r="F34" i="9"/>
  <c r="F35" i="9" s="1"/>
  <c r="G34" i="9"/>
  <c r="G35" i="9" s="1"/>
  <c r="E36" i="9"/>
  <c r="E37" i="9" s="1"/>
  <c r="F36" i="9"/>
  <c r="F37" i="9" s="1"/>
  <c r="G36" i="9"/>
  <c r="G37" i="9" s="1"/>
  <c r="E38" i="9"/>
  <c r="E39" i="9" s="1"/>
  <c r="F38" i="9"/>
  <c r="F39" i="9" s="1"/>
  <c r="G38" i="9"/>
  <c r="G39" i="9" s="1"/>
  <c r="E40" i="9"/>
  <c r="F40" i="9"/>
  <c r="G40" i="9"/>
  <c r="D40" i="9"/>
  <c r="D38" i="9"/>
  <c r="D39" i="9" s="1"/>
  <c r="D34" i="8"/>
  <c r="D36" i="9"/>
  <c r="D37" i="9" s="1"/>
  <c r="D34" i="9"/>
  <c r="D35" i="9" s="1"/>
  <c r="D29" i="9"/>
  <c r="F29" i="9"/>
  <c r="G29" i="9"/>
  <c r="D30" i="9"/>
  <c r="E30" i="9"/>
  <c r="F30" i="9"/>
  <c r="G30" i="9"/>
  <c r="D31" i="9"/>
  <c r="E31" i="9"/>
  <c r="F31" i="9"/>
  <c r="G31" i="9"/>
  <c r="C31" i="9"/>
  <c r="C30" i="9"/>
  <c r="C29" i="9"/>
  <c r="D23" i="9"/>
  <c r="E23" i="9"/>
  <c r="F23" i="9"/>
  <c r="G23" i="9"/>
  <c r="D24" i="9"/>
  <c r="E24" i="9"/>
  <c r="F24" i="9"/>
  <c r="G24" i="9"/>
  <c r="D25" i="9"/>
  <c r="E25" i="9"/>
  <c r="F25" i="9"/>
  <c r="G25" i="9"/>
  <c r="C25" i="9"/>
  <c r="C24" i="9"/>
  <c r="C23" i="9"/>
  <c r="G15" i="9"/>
  <c r="G16" i="9"/>
  <c r="E17" i="9"/>
  <c r="F17" i="9"/>
  <c r="G17" i="9"/>
  <c r="E18" i="9"/>
  <c r="F18" i="9"/>
  <c r="G18" i="9"/>
  <c r="E19" i="9"/>
  <c r="F19" i="9"/>
  <c r="G19" i="9"/>
  <c r="D19" i="9"/>
  <c r="D18" i="9"/>
  <c r="C18" i="9"/>
  <c r="D17" i="9"/>
  <c r="D16" i="9"/>
  <c r="D15" i="9"/>
  <c r="D6" i="9"/>
  <c r="E6" i="9"/>
  <c r="F6" i="9"/>
  <c r="G6" i="9"/>
  <c r="D7" i="9"/>
  <c r="E7" i="9"/>
  <c r="F7" i="9"/>
  <c r="G7" i="9"/>
  <c r="D8" i="9"/>
  <c r="E8" i="9"/>
  <c r="F8" i="9"/>
  <c r="G8" i="9"/>
  <c r="D9" i="9"/>
  <c r="E9" i="9"/>
  <c r="F9" i="9"/>
  <c r="G9" i="9"/>
  <c r="D10" i="9"/>
  <c r="E10" i="9"/>
  <c r="F10" i="9"/>
  <c r="G10" i="9"/>
  <c r="H10" i="9"/>
  <c r="I10" i="9"/>
  <c r="J10" i="9"/>
  <c r="K10" i="9"/>
  <c r="L10" i="9"/>
  <c r="M10" i="9"/>
  <c r="N10" i="9"/>
  <c r="O10" i="9"/>
  <c r="P10" i="9"/>
  <c r="Q10" i="9"/>
  <c r="D12" i="9"/>
  <c r="E12" i="9"/>
  <c r="F12" i="9"/>
  <c r="G12" i="9"/>
  <c r="C12" i="9"/>
  <c r="C10" i="9"/>
  <c r="C9" i="9"/>
  <c r="C8" i="9"/>
  <c r="C7" i="9"/>
  <c r="C6" i="9"/>
  <c r="E3" i="9"/>
  <c r="F3" i="9" s="1"/>
  <c r="G3" i="9" s="1"/>
  <c r="H3" i="9" s="1"/>
  <c r="I3" i="9" s="1"/>
  <c r="J3" i="9" s="1"/>
  <c r="K3" i="9" s="1"/>
  <c r="L3" i="9" s="1"/>
  <c r="M3" i="9" s="1"/>
  <c r="N3" i="9" s="1"/>
  <c r="O3" i="9" s="1"/>
  <c r="P3" i="9" s="1"/>
  <c r="Q3" i="9" s="1"/>
  <c r="D3" i="9"/>
  <c r="B2" i="9"/>
  <c r="D199" i="8" l="1"/>
  <c r="D200" i="8" s="1"/>
  <c r="D197" i="8"/>
  <c r="D196" i="8" s="1"/>
  <c r="D208" i="8"/>
  <c r="D209" i="8" s="1"/>
  <c r="D206" i="8"/>
  <c r="D205" i="8" s="1"/>
  <c r="B2" i="12"/>
  <c r="B2" i="14"/>
  <c r="B2" i="13"/>
  <c r="D10" i="3"/>
  <c r="E10" i="3"/>
  <c r="G10" i="3" s="1"/>
  <c r="H10" i="3" s="1"/>
  <c r="C9" i="3"/>
  <c r="F150" i="8"/>
  <c r="E26" i="9"/>
  <c r="D26" i="9"/>
  <c r="G26" i="9"/>
  <c r="F26" i="9"/>
  <c r="G97" i="8"/>
  <c r="G95" i="8"/>
  <c r="I92" i="8"/>
  <c r="J92" i="8"/>
  <c r="K92" i="8"/>
  <c r="L92" i="8"/>
  <c r="M92" i="8"/>
  <c r="N92" i="8"/>
  <c r="O92" i="8"/>
  <c r="P92" i="8"/>
  <c r="Q92" i="8"/>
  <c r="H92" i="8"/>
  <c r="I89" i="8"/>
  <c r="J89" i="8"/>
  <c r="K89" i="8"/>
  <c r="L89" i="8"/>
  <c r="M89" i="8"/>
  <c r="N89" i="8"/>
  <c r="O89" i="8"/>
  <c r="P89" i="8"/>
  <c r="Q89" i="8"/>
  <c r="H89" i="8"/>
  <c r="I84" i="8"/>
  <c r="J84" i="8"/>
  <c r="K84" i="8"/>
  <c r="L84" i="8"/>
  <c r="M84" i="8"/>
  <c r="N84" i="8"/>
  <c r="O84" i="8"/>
  <c r="P84" i="8"/>
  <c r="Q84" i="8"/>
  <c r="H84" i="8"/>
  <c r="I105" i="8"/>
  <c r="J105" i="8"/>
  <c r="K105" i="8"/>
  <c r="L105" i="8"/>
  <c r="M105" i="8"/>
  <c r="N105" i="8"/>
  <c r="O105" i="8"/>
  <c r="P105" i="8"/>
  <c r="Q105" i="8"/>
  <c r="G106" i="8"/>
  <c r="H105" i="8"/>
  <c r="G79" i="8"/>
  <c r="H76" i="8"/>
  <c r="D71" i="8"/>
  <c r="F71" i="8"/>
  <c r="G71" i="8"/>
  <c r="C71" i="8"/>
  <c r="G69" i="8"/>
  <c r="I68" i="8"/>
  <c r="J68" i="8" s="1"/>
  <c r="K68" i="8" s="1"/>
  <c r="L68" i="8" s="1"/>
  <c r="M68" i="8" s="1"/>
  <c r="N68" i="8" s="1"/>
  <c r="O68" i="8" s="1"/>
  <c r="P68" i="8" s="1"/>
  <c r="Q68" i="8" s="1"/>
  <c r="H68" i="8"/>
  <c r="I65" i="8"/>
  <c r="J65" i="8"/>
  <c r="K65" i="8"/>
  <c r="L65" i="8"/>
  <c r="M65" i="8" s="1"/>
  <c r="H65" i="8"/>
  <c r="I60" i="8"/>
  <c r="J60" i="8"/>
  <c r="K60" i="8"/>
  <c r="L60" i="8"/>
  <c r="M60" i="8"/>
  <c r="N60" i="8"/>
  <c r="O60" i="8"/>
  <c r="P60" i="8"/>
  <c r="Q60" i="8"/>
  <c r="I61" i="8"/>
  <c r="J61" i="8" s="1"/>
  <c r="K61" i="8" s="1"/>
  <c r="H61" i="8"/>
  <c r="H60" i="8"/>
  <c r="I57" i="8"/>
  <c r="J57" i="8" s="1"/>
  <c r="K57" i="8" s="1"/>
  <c r="L57" i="8" s="1"/>
  <c r="M57" i="8" s="1"/>
  <c r="N57" i="8" s="1"/>
  <c r="O57" i="8" s="1"/>
  <c r="P57" i="8" s="1"/>
  <c r="Q57" i="8" s="1"/>
  <c r="H57" i="8"/>
  <c r="I49" i="8"/>
  <c r="J49" i="8" s="1"/>
  <c r="I50" i="8"/>
  <c r="J50" i="8" s="1"/>
  <c r="K50" i="8" s="1"/>
  <c r="L50" i="8" s="1"/>
  <c r="M50" i="8" s="1"/>
  <c r="N50" i="8" s="1"/>
  <c r="O50" i="8" s="1"/>
  <c r="P50" i="8" s="1"/>
  <c r="Q50" i="8" s="1"/>
  <c r="I51" i="8"/>
  <c r="J51" i="8" s="1"/>
  <c r="K51" i="8" s="1"/>
  <c r="L51" i="8" s="1"/>
  <c r="M51" i="8" s="1"/>
  <c r="N51" i="8" s="1"/>
  <c r="O51" i="8" s="1"/>
  <c r="P51" i="8" s="1"/>
  <c r="Q51" i="8" s="1"/>
  <c r="I52" i="8"/>
  <c r="J52" i="8" s="1"/>
  <c r="K52" i="8" s="1"/>
  <c r="L52" i="8" s="1"/>
  <c r="M52" i="8" s="1"/>
  <c r="N52" i="8" s="1"/>
  <c r="O52" i="8" s="1"/>
  <c r="P52" i="8" s="1"/>
  <c r="Q52" i="8" s="1"/>
  <c r="H52" i="8"/>
  <c r="H51" i="8"/>
  <c r="H50" i="8"/>
  <c r="H49" i="8"/>
  <c r="I45" i="8"/>
  <c r="J45" i="8" s="1"/>
  <c r="K45" i="8" s="1"/>
  <c r="L45" i="8" s="1"/>
  <c r="M45" i="8" s="1"/>
  <c r="N45" i="8" s="1"/>
  <c r="O45" i="8" s="1"/>
  <c r="P45" i="8" s="1"/>
  <c r="Q45" i="8" s="1"/>
  <c r="H45" i="8"/>
  <c r="I42" i="8"/>
  <c r="J42" i="8" s="1"/>
  <c r="K42" i="8" s="1"/>
  <c r="L42" i="8" s="1"/>
  <c r="M42" i="8" s="1"/>
  <c r="N42" i="8" s="1"/>
  <c r="O42" i="8" s="1"/>
  <c r="P42" i="8" s="1"/>
  <c r="Q42" i="8" s="1"/>
  <c r="H42" i="8"/>
  <c r="I15" i="8"/>
  <c r="J15" i="8"/>
  <c r="K15" i="8"/>
  <c r="L15" i="8"/>
  <c r="M15" i="8"/>
  <c r="N15" i="8"/>
  <c r="O15" i="8"/>
  <c r="P15" i="8"/>
  <c r="Q15" i="8"/>
  <c r="H15" i="8"/>
  <c r="I118" i="8"/>
  <c r="J118" i="8"/>
  <c r="K118" i="8"/>
  <c r="L118" i="8"/>
  <c r="M118" i="8"/>
  <c r="N118" i="8"/>
  <c r="O118" i="8"/>
  <c r="P118" i="8"/>
  <c r="Q118" i="8"/>
  <c r="H118" i="8"/>
  <c r="I117" i="8"/>
  <c r="H117" i="8"/>
  <c r="I115" i="8" s="1"/>
  <c r="H115" i="8"/>
  <c r="J115" i="8"/>
  <c r="J117" i="8" s="1"/>
  <c r="K115" i="8" s="1"/>
  <c r="K117" i="8" s="1"/>
  <c r="L115" i="8" s="1"/>
  <c r="L117" i="8" s="1"/>
  <c r="M115" i="8" s="1"/>
  <c r="M117" i="8" s="1"/>
  <c r="N115" i="8" s="1"/>
  <c r="N117" i="8" s="1"/>
  <c r="O115" i="8" s="1"/>
  <c r="O117" i="8" s="1"/>
  <c r="P115" i="8" s="1"/>
  <c r="P117" i="8" s="1"/>
  <c r="Q115" i="8" s="1"/>
  <c r="Q117" i="8" s="1"/>
  <c r="H111" i="8"/>
  <c r="H109" i="8"/>
  <c r="H13" i="8" s="1"/>
  <c r="H36" i="8"/>
  <c r="I36" i="8" s="1"/>
  <c r="J36" i="8" s="1"/>
  <c r="K36" i="8" s="1"/>
  <c r="L36" i="8" s="1"/>
  <c r="M36" i="8" s="1"/>
  <c r="N36" i="8" s="1"/>
  <c r="O36" i="8" s="1"/>
  <c r="P36" i="8" s="1"/>
  <c r="Q36" i="8" s="1"/>
  <c r="J25" i="8"/>
  <c r="K25" i="8" s="1"/>
  <c r="L25" i="8" s="1"/>
  <c r="M25" i="8" s="1"/>
  <c r="N25" i="8" s="1"/>
  <c r="O25" i="8" s="1"/>
  <c r="P25" i="8" s="1"/>
  <c r="Q25" i="8" s="1"/>
  <c r="J26" i="8"/>
  <c r="K26" i="8" s="1"/>
  <c r="L26" i="8" s="1"/>
  <c r="M26" i="8" s="1"/>
  <c r="N26" i="8" s="1"/>
  <c r="O26" i="8" s="1"/>
  <c r="P26" i="8" s="1"/>
  <c r="Q26" i="8" s="1"/>
  <c r="J27" i="8"/>
  <c r="K27" i="8" s="1"/>
  <c r="L27" i="8" s="1"/>
  <c r="M27" i="8" s="1"/>
  <c r="N27" i="8" s="1"/>
  <c r="O27" i="8" s="1"/>
  <c r="P27" i="8" s="1"/>
  <c r="Q27" i="8" s="1"/>
  <c r="J28" i="8"/>
  <c r="K28" i="8" s="1"/>
  <c r="L28" i="8" s="1"/>
  <c r="M28" i="8" s="1"/>
  <c r="N28" i="8" s="1"/>
  <c r="O28" i="8" s="1"/>
  <c r="P28" i="8" s="1"/>
  <c r="Q28" i="8" s="1"/>
  <c r="J29" i="8"/>
  <c r="K29" i="8" s="1"/>
  <c r="L29" i="8" s="1"/>
  <c r="M29" i="8" s="1"/>
  <c r="N29" i="8" s="1"/>
  <c r="O29" i="8" s="1"/>
  <c r="P29" i="8" s="1"/>
  <c r="Q29" i="8" s="1"/>
  <c r="J30" i="8"/>
  <c r="K30" i="8" s="1"/>
  <c r="L30" i="8" s="1"/>
  <c r="M30" i="8" s="1"/>
  <c r="N30" i="8" s="1"/>
  <c r="O30" i="8" s="1"/>
  <c r="P30" i="8" s="1"/>
  <c r="Q30" i="8" s="1"/>
  <c r="J31" i="8"/>
  <c r="K31" i="8" s="1"/>
  <c r="L31" i="8" s="1"/>
  <c r="M31" i="8" s="1"/>
  <c r="N31" i="8" s="1"/>
  <c r="O31" i="8" s="1"/>
  <c r="P31" i="8" s="1"/>
  <c r="Q31" i="8" s="1"/>
  <c r="J32" i="8"/>
  <c r="K32" i="8" s="1"/>
  <c r="L32" i="8" s="1"/>
  <c r="M32" i="8" s="1"/>
  <c r="N32" i="8" s="1"/>
  <c r="O32" i="8" s="1"/>
  <c r="P32" i="8" s="1"/>
  <c r="Q32" i="8" s="1"/>
  <c r="J33" i="8"/>
  <c r="K33" i="8" s="1"/>
  <c r="L33" i="8" s="1"/>
  <c r="M33" i="8" s="1"/>
  <c r="N33" i="8" s="1"/>
  <c r="O33" i="8" s="1"/>
  <c r="P33" i="8" s="1"/>
  <c r="Q33" i="8" s="1"/>
  <c r="J35" i="8"/>
  <c r="K35" i="8" s="1"/>
  <c r="L35" i="8" s="1"/>
  <c r="M35" i="8" s="1"/>
  <c r="N35" i="8" s="1"/>
  <c r="O35" i="8" s="1"/>
  <c r="P35" i="8" s="1"/>
  <c r="Q35" i="8" s="1"/>
  <c r="I33" i="8"/>
  <c r="I26" i="8"/>
  <c r="I27" i="8"/>
  <c r="I28" i="8"/>
  <c r="I29" i="8"/>
  <c r="I30" i="8"/>
  <c r="I31" i="8"/>
  <c r="I32" i="8"/>
  <c r="I35" i="8"/>
  <c r="I25" i="8"/>
  <c r="H34" i="8"/>
  <c r="H35" i="8"/>
  <c r="H33" i="8"/>
  <c r="H31" i="8"/>
  <c r="H32" i="8"/>
  <c r="H30" i="8"/>
  <c r="H29" i="8"/>
  <c r="H28" i="8"/>
  <c r="H26" i="8"/>
  <c r="H27" i="8"/>
  <c r="H25" i="8"/>
  <c r="D23" i="8"/>
  <c r="I24" i="8" s="1"/>
  <c r="D102" i="8"/>
  <c r="E102" i="8"/>
  <c r="F102" i="8"/>
  <c r="G102" i="8"/>
  <c r="D103" i="8"/>
  <c r="E103" i="8"/>
  <c r="F103" i="8"/>
  <c r="G103" i="8"/>
  <c r="D104" i="8"/>
  <c r="E104" i="8"/>
  <c r="F104" i="8"/>
  <c r="G104" i="8"/>
  <c r="D105" i="8"/>
  <c r="E105" i="8"/>
  <c r="E106" i="8" s="1"/>
  <c r="F105" i="8"/>
  <c r="F106" i="8" s="1"/>
  <c r="G105" i="8"/>
  <c r="D106" i="8"/>
  <c r="C105" i="8"/>
  <c r="C104" i="8"/>
  <c r="C103" i="8"/>
  <c r="C102" i="8"/>
  <c r="C106" i="8" s="1"/>
  <c r="D96" i="8"/>
  <c r="E96" i="8"/>
  <c r="F96" i="8"/>
  <c r="G96" i="8"/>
  <c r="C96" i="8"/>
  <c r="D89" i="8"/>
  <c r="D93" i="8" s="1"/>
  <c r="E89" i="8"/>
  <c r="E93" i="8" s="1"/>
  <c r="F89" i="8"/>
  <c r="F93" i="8" s="1"/>
  <c r="G89" i="8"/>
  <c r="G93" i="8" s="1"/>
  <c r="D90" i="8"/>
  <c r="E90" i="8"/>
  <c r="F90" i="8"/>
  <c r="G90" i="8"/>
  <c r="D91" i="8"/>
  <c r="E91" i="8"/>
  <c r="F91" i="8"/>
  <c r="G91" i="8"/>
  <c r="D92" i="8"/>
  <c r="E92" i="8"/>
  <c r="F92" i="8"/>
  <c r="G92" i="8"/>
  <c r="C92" i="8"/>
  <c r="C91" i="8"/>
  <c r="C90" i="8"/>
  <c r="C89" i="8"/>
  <c r="C93" i="8" s="1"/>
  <c r="D82" i="8"/>
  <c r="D86" i="8" s="1"/>
  <c r="E82" i="8"/>
  <c r="E86" i="8" s="1"/>
  <c r="F82" i="8"/>
  <c r="F86" i="8" s="1"/>
  <c r="G82" i="8"/>
  <c r="G86" i="8" s="1"/>
  <c r="D83" i="8"/>
  <c r="E83" i="8"/>
  <c r="F83" i="8"/>
  <c r="G83" i="8"/>
  <c r="D84" i="8"/>
  <c r="E84" i="8"/>
  <c r="F84" i="8"/>
  <c r="G84" i="8"/>
  <c r="D85" i="8"/>
  <c r="E85" i="8"/>
  <c r="F85" i="8"/>
  <c r="G85" i="8"/>
  <c r="C85" i="8"/>
  <c r="C84" i="8"/>
  <c r="C83" i="8"/>
  <c r="C82" i="8"/>
  <c r="C86" i="8" s="1"/>
  <c r="D75" i="8"/>
  <c r="E75" i="8"/>
  <c r="F75" i="8"/>
  <c r="G75" i="8"/>
  <c r="D76" i="8"/>
  <c r="D111" i="8" s="1"/>
  <c r="E76" i="8"/>
  <c r="E111" i="8" s="1"/>
  <c r="F76" i="8"/>
  <c r="F111" i="8" s="1"/>
  <c r="G76" i="8"/>
  <c r="G111" i="8" s="1"/>
  <c r="D77" i="8"/>
  <c r="E77" i="8"/>
  <c r="F77" i="8"/>
  <c r="G77" i="8"/>
  <c r="D78" i="8"/>
  <c r="E78" i="8"/>
  <c r="F78" i="8"/>
  <c r="G78" i="8"/>
  <c r="D79" i="8"/>
  <c r="D95" i="8" s="1"/>
  <c r="D97" i="8" s="1"/>
  <c r="E79" i="8"/>
  <c r="E95" i="8" s="1"/>
  <c r="E97" i="8" s="1"/>
  <c r="F79" i="8"/>
  <c r="F95" i="8" s="1"/>
  <c r="F97" i="8" s="1"/>
  <c r="C78" i="8"/>
  <c r="C77" i="8"/>
  <c r="C76" i="8"/>
  <c r="C75" i="8"/>
  <c r="D9" i="7"/>
  <c r="E9" i="7"/>
  <c r="E11" i="7" s="1"/>
  <c r="F9" i="7"/>
  <c r="G9" i="7"/>
  <c r="C9" i="7"/>
  <c r="C11" i="7" s="1"/>
  <c r="D11" i="7"/>
  <c r="F11" i="7"/>
  <c r="G11" i="7"/>
  <c r="D99" i="7"/>
  <c r="E99" i="7"/>
  <c r="F99" i="7"/>
  <c r="G99" i="7"/>
  <c r="C99" i="7"/>
  <c r="D98" i="7"/>
  <c r="E98" i="7"/>
  <c r="F98" i="7"/>
  <c r="G98" i="7"/>
  <c r="C98" i="7"/>
  <c r="D97" i="7"/>
  <c r="E97" i="7"/>
  <c r="F97" i="7"/>
  <c r="G97" i="7"/>
  <c r="C97" i="7"/>
  <c r="D85" i="7"/>
  <c r="E85" i="7"/>
  <c r="F85" i="7"/>
  <c r="G85" i="7"/>
  <c r="D76" i="7"/>
  <c r="E76" i="7"/>
  <c r="F76" i="7"/>
  <c r="G76" i="7"/>
  <c r="C76" i="7"/>
  <c r="D74" i="7"/>
  <c r="E74" i="7"/>
  <c r="F74" i="7"/>
  <c r="G74" i="7"/>
  <c r="C74" i="7"/>
  <c r="D69" i="7"/>
  <c r="F69" i="7"/>
  <c r="G69" i="7"/>
  <c r="C69" i="7"/>
  <c r="D68" i="7"/>
  <c r="E68" i="7"/>
  <c r="F68" i="7"/>
  <c r="G68" i="7"/>
  <c r="C68" i="7"/>
  <c r="D56" i="7"/>
  <c r="E56" i="7"/>
  <c r="E69" i="7" s="1"/>
  <c r="F56" i="7"/>
  <c r="G56" i="7"/>
  <c r="C56" i="7"/>
  <c r="D101" i="7"/>
  <c r="E101" i="7" s="1"/>
  <c r="F101" i="7" s="1"/>
  <c r="G101" i="7" s="1"/>
  <c r="D68" i="8"/>
  <c r="E68" i="8"/>
  <c r="F68" i="8"/>
  <c r="G68" i="8"/>
  <c r="D65" i="8"/>
  <c r="E65" i="8"/>
  <c r="F65" i="8"/>
  <c r="G65" i="8"/>
  <c r="D66" i="8"/>
  <c r="E66" i="8"/>
  <c r="F66" i="8"/>
  <c r="G66" i="8"/>
  <c r="C68" i="8"/>
  <c r="C66" i="8"/>
  <c r="C65" i="8"/>
  <c r="D60" i="8"/>
  <c r="D117" i="8" s="1"/>
  <c r="E115" i="8" s="1"/>
  <c r="E116" i="8" s="1"/>
  <c r="E60" i="8"/>
  <c r="E117" i="8" s="1"/>
  <c r="F115" i="8" s="1"/>
  <c r="F116" i="8" s="1"/>
  <c r="F60" i="8"/>
  <c r="F117" i="8" s="1"/>
  <c r="G115" i="8" s="1"/>
  <c r="G116" i="8" s="1"/>
  <c r="G60" i="8"/>
  <c r="G117" i="8" s="1"/>
  <c r="D61" i="8"/>
  <c r="E61" i="8"/>
  <c r="F61" i="8"/>
  <c r="G61" i="8"/>
  <c r="C61" i="8"/>
  <c r="C60" i="8"/>
  <c r="C117" i="8" s="1"/>
  <c r="D115" i="8" s="1"/>
  <c r="D116" i="8" s="1"/>
  <c r="D56" i="8"/>
  <c r="E56" i="8"/>
  <c r="F56" i="8"/>
  <c r="G56" i="8"/>
  <c r="D57" i="8"/>
  <c r="E57" i="8"/>
  <c r="F57" i="8"/>
  <c r="G57" i="8"/>
  <c r="C57" i="8"/>
  <c r="C56" i="8"/>
  <c r="D44" i="8"/>
  <c r="E44" i="8"/>
  <c r="F44" i="8"/>
  <c r="G44" i="8"/>
  <c r="C44" i="8"/>
  <c r="D48" i="8"/>
  <c r="D112" i="8" s="1"/>
  <c r="E109" i="8" s="1"/>
  <c r="E110" i="8" s="1"/>
  <c r="E48" i="8"/>
  <c r="E112" i="8" s="1"/>
  <c r="F109" i="8" s="1"/>
  <c r="F48" i="8"/>
  <c r="F112" i="8" s="1"/>
  <c r="G48" i="8"/>
  <c r="G112" i="8" s="1"/>
  <c r="D49" i="8"/>
  <c r="E49" i="8"/>
  <c r="F49" i="8"/>
  <c r="G49" i="8"/>
  <c r="D50" i="8"/>
  <c r="E50" i="8"/>
  <c r="F50" i="8"/>
  <c r="G50" i="8"/>
  <c r="D51" i="8"/>
  <c r="E51" i="8"/>
  <c r="F51" i="8"/>
  <c r="G51" i="8"/>
  <c r="D52" i="8"/>
  <c r="E52" i="8"/>
  <c r="F52" i="8"/>
  <c r="G52" i="8"/>
  <c r="C52" i="8"/>
  <c r="C51" i="8"/>
  <c r="C50" i="8"/>
  <c r="C49" i="8"/>
  <c r="C48" i="8"/>
  <c r="C112" i="8" s="1"/>
  <c r="D109" i="8" s="1"/>
  <c r="D110" i="8" s="1"/>
  <c r="D41" i="8"/>
  <c r="E41" i="8"/>
  <c r="F41" i="8"/>
  <c r="G41" i="8"/>
  <c r="D42" i="8"/>
  <c r="E42" i="8"/>
  <c r="F42" i="8"/>
  <c r="G42" i="8"/>
  <c r="D43" i="8"/>
  <c r="E43" i="8"/>
  <c r="F43" i="8"/>
  <c r="G43" i="8"/>
  <c r="D45" i="8"/>
  <c r="E45" i="8"/>
  <c r="F45" i="8"/>
  <c r="G45" i="8"/>
  <c r="C45" i="8"/>
  <c r="C43" i="8"/>
  <c r="C42" i="8"/>
  <c r="C41" i="8"/>
  <c r="D16" i="8"/>
  <c r="E16" i="8"/>
  <c r="F16" i="8"/>
  <c r="G16" i="8"/>
  <c r="C16" i="8"/>
  <c r="D18" i="8"/>
  <c r="E18" i="8"/>
  <c r="F18" i="8"/>
  <c r="G18" i="8"/>
  <c r="C18" i="8"/>
  <c r="D7" i="8"/>
  <c r="F7" i="8"/>
  <c r="G7" i="8"/>
  <c r="D8" i="8"/>
  <c r="E8" i="8"/>
  <c r="F8" i="8"/>
  <c r="F9" i="8" s="1"/>
  <c r="G8" i="8"/>
  <c r="G25" i="8" s="1"/>
  <c r="D10" i="8"/>
  <c r="E10" i="8"/>
  <c r="F10" i="8"/>
  <c r="G10" i="8"/>
  <c r="D11" i="8"/>
  <c r="E11" i="8"/>
  <c r="F11" i="8"/>
  <c r="G11" i="8"/>
  <c r="D13" i="8"/>
  <c r="E13" i="8"/>
  <c r="F13" i="8"/>
  <c r="G13" i="8"/>
  <c r="D15" i="8"/>
  <c r="D118" i="8" s="1"/>
  <c r="D29" i="8" s="1"/>
  <c r="E15" i="8"/>
  <c r="E118" i="8" s="1"/>
  <c r="E29" i="8" s="1"/>
  <c r="F15" i="8"/>
  <c r="F118" i="8" s="1"/>
  <c r="F29" i="8" s="1"/>
  <c r="G15" i="8"/>
  <c r="G118" i="8" s="1"/>
  <c r="G29" i="8" s="1"/>
  <c r="C15" i="8"/>
  <c r="C118" i="8" s="1"/>
  <c r="C13" i="8"/>
  <c r="C11" i="8"/>
  <c r="C10" i="8"/>
  <c r="C8" i="8"/>
  <c r="C7" i="8"/>
  <c r="E3" i="8"/>
  <c r="F3" i="8" s="1"/>
  <c r="G3" i="8" s="1"/>
  <c r="H3" i="8" s="1"/>
  <c r="I3" i="8" s="1"/>
  <c r="J3" i="8" s="1"/>
  <c r="K3" i="8" s="1"/>
  <c r="L3" i="8" s="1"/>
  <c r="M3" i="8" s="1"/>
  <c r="N3" i="8" s="1"/>
  <c r="O3" i="8" s="1"/>
  <c r="P3" i="8" s="1"/>
  <c r="Q3" i="8" s="1"/>
  <c r="D3" i="8"/>
  <c r="B2" i="8"/>
  <c r="D39" i="7"/>
  <c r="E39" i="7" s="1"/>
  <c r="F39" i="7" s="1"/>
  <c r="G39" i="7" s="1"/>
  <c r="F30" i="7"/>
  <c r="G30" i="7"/>
  <c r="F20" i="7"/>
  <c r="G20" i="7"/>
  <c r="D30" i="7"/>
  <c r="E30" i="7"/>
  <c r="D20" i="7"/>
  <c r="E20" i="7"/>
  <c r="C30" i="7"/>
  <c r="C20" i="7"/>
  <c r="D4" i="7"/>
  <c r="E4" i="7" s="1"/>
  <c r="F4" i="7" s="1"/>
  <c r="G4" i="7" s="1"/>
  <c r="D9" i="3" l="1"/>
  <c r="H150" i="8"/>
  <c r="E9" i="3" s="1"/>
  <c r="G9" i="3" s="1"/>
  <c r="H9" i="3" s="1"/>
  <c r="I34" i="8"/>
  <c r="N65" i="8"/>
  <c r="L61" i="8"/>
  <c r="K49" i="8"/>
  <c r="P24" i="8"/>
  <c r="L24" i="8"/>
  <c r="O24" i="8"/>
  <c r="K24" i="8"/>
  <c r="H24" i="8"/>
  <c r="H7" i="8" s="1"/>
  <c r="N24" i="8"/>
  <c r="J24" i="8"/>
  <c r="Q24" i="8"/>
  <c r="M24" i="8"/>
  <c r="D28" i="8"/>
  <c r="D32" i="8"/>
  <c r="G109" i="8"/>
  <c r="G110" i="8" s="1"/>
  <c r="F110" i="8"/>
  <c r="F28" i="8"/>
  <c r="E28" i="8"/>
  <c r="C79" i="8"/>
  <c r="C95" i="8" s="1"/>
  <c r="C97" i="8" s="1"/>
  <c r="C36" i="8"/>
  <c r="E7" i="8"/>
  <c r="E33" i="8" s="1"/>
  <c r="D25" i="8"/>
  <c r="C21" i="7"/>
  <c r="D9" i="8"/>
  <c r="D12" i="8" s="1"/>
  <c r="D14" i="8" s="1"/>
  <c r="D17" i="8" s="1"/>
  <c r="D19" i="8" s="1"/>
  <c r="G36" i="8"/>
  <c r="F36" i="8"/>
  <c r="C53" i="8"/>
  <c r="C26" i="8"/>
  <c r="G26" i="8"/>
  <c r="C27" i="8"/>
  <c r="C33" i="8"/>
  <c r="E53" i="8"/>
  <c r="G34" i="8"/>
  <c r="C35" i="8"/>
  <c r="E35" i="8"/>
  <c r="D33" i="8"/>
  <c r="F34" i="8"/>
  <c r="D62" i="8"/>
  <c r="E67" i="8"/>
  <c r="G33" i="8"/>
  <c r="G53" i="8"/>
  <c r="E34" i="8"/>
  <c r="G62" i="8"/>
  <c r="D24" i="8"/>
  <c r="F30" i="8"/>
  <c r="F33" i="8"/>
  <c r="C34" i="8"/>
  <c r="F35" i="8"/>
  <c r="G67" i="8"/>
  <c r="F62" i="8"/>
  <c r="D36" i="8"/>
  <c r="D35" i="8"/>
  <c r="E62" i="8"/>
  <c r="F67" i="8"/>
  <c r="G35" i="8"/>
  <c r="C62" i="8"/>
  <c r="G9" i="8"/>
  <c r="G12" i="8" s="1"/>
  <c r="G14" i="8" s="1"/>
  <c r="G17" i="8" s="1"/>
  <c r="G31" i="8" s="1"/>
  <c r="D53" i="8"/>
  <c r="C25" i="8"/>
  <c r="F12" i="8"/>
  <c r="F14" i="8" s="1"/>
  <c r="F17" i="8" s="1"/>
  <c r="F26" i="8"/>
  <c r="C30" i="8"/>
  <c r="D30" i="8"/>
  <c r="D27" i="8"/>
  <c r="D26" i="8"/>
  <c r="F53" i="8"/>
  <c r="D67" i="8"/>
  <c r="C67" i="8"/>
  <c r="G30" i="8"/>
  <c r="G27" i="8"/>
  <c r="F25" i="8"/>
  <c r="G24" i="8"/>
  <c r="C9" i="8"/>
  <c r="C12" i="8" s="1"/>
  <c r="C14" i="8" s="1"/>
  <c r="C17" i="8" s="1"/>
  <c r="C19" i="8" s="1"/>
  <c r="C32" i="8" s="1"/>
  <c r="F24" i="8"/>
  <c r="F27" i="8"/>
  <c r="E25" i="8"/>
  <c r="E24" i="8"/>
  <c r="E29" i="9" l="1"/>
  <c r="E16" i="9"/>
  <c r="E15" i="9"/>
  <c r="F16" i="9"/>
  <c r="F15" i="9"/>
  <c r="E71" i="8"/>
  <c r="H43" i="8"/>
  <c r="H34" i="9" s="1"/>
  <c r="H35" i="9" s="1"/>
  <c r="H16" i="8"/>
  <c r="H11" i="8"/>
  <c r="I7" i="8"/>
  <c r="H110" i="8"/>
  <c r="H10" i="8"/>
  <c r="H8" i="8"/>
  <c r="H9" i="8"/>
  <c r="J34" i="8"/>
  <c r="O65" i="8"/>
  <c r="M61" i="8"/>
  <c r="L49" i="8"/>
  <c r="H124" i="8"/>
  <c r="I124" i="8" s="1"/>
  <c r="J124" i="8" s="1"/>
  <c r="K124" i="8" s="1"/>
  <c r="L124" i="8" s="1"/>
  <c r="M124" i="8" s="1"/>
  <c r="N124" i="8" s="1"/>
  <c r="O124" i="8" s="1"/>
  <c r="P124" i="8" s="1"/>
  <c r="Q124" i="8" s="1"/>
  <c r="H123" i="8"/>
  <c r="I123" i="8" s="1"/>
  <c r="J123" i="8" s="1"/>
  <c r="K123" i="8" s="1"/>
  <c r="L123" i="8" s="1"/>
  <c r="M123" i="8" s="1"/>
  <c r="N123" i="8" s="1"/>
  <c r="O123" i="8" s="1"/>
  <c r="P123" i="8" s="1"/>
  <c r="Q123" i="8" s="1"/>
  <c r="H125" i="8"/>
  <c r="I125" i="8" s="1"/>
  <c r="J125" i="8" s="1"/>
  <c r="K125" i="8" s="1"/>
  <c r="L125" i="8" s="1"/>
  <c r="M125" i="8" s="1"/>
  <c r="N125" i="8" s="1"/>
  <c r="O125" i="8" s="1"/>
  <c r="P125" i="8" s="1"/>
  <c r="Q125" i="8" s="1"/>
  <c r="G28" i="8"/>
  <c r="D69" i="8"/>
  <c r="E9" i="8"/>
  <c r="E12" i="8" s="1"/>
  <c r="E14" i="8" s="1"/>
  <c r="E17" i="8" s="1"/>
  <c r="E19" i="8" s="1"/>
  <c r="E32" i="8" s="1"/>
  <c r="E26" i="8"/>
  <c r="E27" i="8"/>
  <c r="E30" i="8"/>
  <c r="E36" i="8"/>
  <c r="D31" i="8"/>
  <c r="E69" i="8"/>
  <c r="C69" i="8"/>
  <c r="G19" i="8"/>
  <c r="G32" i="8" s="1"/>
  <c r="F69" i="8"/>
  <c r="E31" i="8"/>
  <c r="F19" i="8"/>
  <c r="F32" i="8" s="1"/>
  <c r="F31" i="8"/>
  <c r="C31" i="8"/>
  <c r="H6" i="9" l="1"/>
  <c r="H12" i="8"/>
  <c r="H56" i="8"/>
  <c r="H38" i="9" s="1"/>
  <c r="H39" i="9" s="1"/>
  <c r="H44" i="8"/>
  <c r="H103" i="8" s="1"/>
  <c r="H85" i="8"/>
  <c r="H77" i="8"/>
  <c r="E175" i="8"/>
  <c r="H82" i="8"/>
  <c r="H112" i="8"/>
  <c r="H102" i="8"/>
  <c r="J7" i="8"/>
  <c r="I8" i="8"/>
  <c r="I9" i="8" s="1"/>
  <c r="I110" i="8"/>
  <c r="I10" i="8"/>
  <c r="I43" i="8"/>
  <c r="I102" i="8" s="1"/>
  <c r="I16" i="8"/>
  <c r="I11" i="8"/>
  <c r="K34" i="8"/>
  <c r="P65" i="8"/>
  <c r="N61" i="8"/>
  <c r="M49" i="8"/>
  <c r="H36" i="9" l="1"/>
  <c r="H37" i="9" s="1"/>
  <c r="H26" i="9" s="1"/>
  <c r="I34" i="9"/>
  <c r="I35" i="9" s="1"/>
  <c r="I12" i="8"/>
  <c r="I6" i="9"/>
  <c r="H48" i="8"/>
  <c r="I109" i="8"/>
  <c r="I85" i="8"/>
  <c r="I77" i="8"/>
  <c r="F175" i="8"/>
  <c r="I82" i="8"/>
  <c r="J43" i="8"/>
  <c r="J34" i="9" s="1"/>
  <c r="J35" i="9" s="1"/>
  <c r="J16" i="8"/>
  <c r="J11" i="8"/>
  <c r="J8" i="8"/>
  <c r="J10" i="8"/>
  <c r="K7" i="8"/>
  <c r="J110" i="8"/>
  <c r="J9" i="8"/>
  <c r="H86" i="8"/>
  <c r="H7" i="9"/>
  <c r="I56" i="8"/>
  <c r="I38" i="9" s="1"/>
  <c r="I39" i="9" s="1"/>
  <c r="I44" i="8"/>
  <c r="I103" i="8" s="1"/>
  <c r="H62" i="8"/>
  <c r="H104" i="8"/>
  <c r="H106" i="8" s="1"/>
  <c r="L34" i="8"/>
  <c r="Q65" i="8"/>
  <c r="O61" i="8"/>
  <c r="N49" i="8"/>
  <c r="J102" i="8" l="1"/>
  <c r="I86" i="8"/>
  <c r="H78" i="8"/>
  <c r="E176" i="8"/>
  <c r="I104" i="8"/>
  <c r="I106" i="8" s="1"/>
  <c r="I62" i="8"/>
  <c r="H17" i="8"/>
  <c r="E171" i="8"/>
  <c r="E172" i="8" s="1"/>
  <c r="E173" i="8" s="1"/>
  <c r="E177" i="8" s="1"/>
  <c r="E178" i="8" s="1"/>
  <c r="H8" i="9"/>
  <c r="J12" i="8"/>
  <c r="J6" i="9"/>
  <c r="J56" i="8"/>
  <c r="J44" i="8"/>
  <c r="J103" i="8" s="1"/>
  <c r="H40" i="9"/>
  <c r="G175" i="8"/>
  <c r="J82" i="8"/>
  <c r="I36" i="9"/>
  <c r="I37" i="9" s="1"/>
  <c r="I26" i="9" s="1"/>
  <c r="K10" i="8"/>
  <c r="K43" i="8"/>
  <c r="K16" i="8"/>
  <c r="K11" i="8"/>
  <c r="K8" i="8"/>
  <c r="K9" i="8"/>
  <c r="L7" i="8"/>
  <c r="K110" i="8"/>
  <c r="J85" i="8"/>
  <c r="J77" i="8"/>
  <c r="I7" i="9"/>
  <c r="I111" i="8"/>
  <c r="I76" i="8" s="1"/>
  <c r="I13" i="8"/>
  <c r="F174" i="8" s="1"/>
  <c r="M34" i="8"/>
  <c r="P61" i="8"/>
  <c r="O49" i="8"/>
  <c r="J36" i="9" l="1"/>
  <c r="J37" i="9" s="1"/>
  <c r="K12" i="8"/>
  <c r="K6" i="9"/>
  <c r="K102" i="8"/>
  <c r="K56" i="8"/>
  <c r="K38" i="9" s="1"/>
  <c r="K39" i="9" s="1"/>
  <c r="K44" i="8"/>
  <c r="K103" i="8" s="1"/>
  <c r="J86" i="8"/>
  <c r="H9" i="9"/>
  <c r="H18" i="8"/>
  <c r="H19" i="8" s="1"/>
  <c r="J104" i="8"/>
  <c r="J106" i="8" s="1"/>
  <c r="J62" i="8"/>
  <c r="J7" i="9"/>
  <c r="H175" i="8"/>
  <c r="K82" i="8"/>
  <c r="I14" i="8"/>
  <c r="L10" i="8"/>
  <c r="L43" i="8"/>
  <c r="L102" i="8" s="1"/>
  <c r="L16" i="8"/>
  <c r="L11" i="8"/>
  <c r="L8" i="8"/>
  <c r="L9" i="8" s="1"/>
  <c r="M7" i="8"/>
  <c r="L110" i="8"/>
  <c r="K85" i="8"/>
  <c r="K77" i="8"/>
  <c r="K34" i="9"/>
  <c r="K35" i="9" s="1"/>
  <c r="J38" i="9"/>
  <c r="J39" i="9" s="1"/>
  <c r="J26" i="9" s="1"/>
  <c r="I112" i="8"/>
  <c r="I78" i="8"/>
  <c r="F176" i="8"/>
  <c r="N34" i="8"/>
  <c r="Q61" i="8"/>
  <c r="P49" i="8"/>
  <c r="L12" i="8" l="1"/>
  <c r="L6" i="9"/>
  <c r="I175" i="8"/>
  <c r="L82" i="8"/>
  <c r="L77" i="8"/>
  <c r="L85" i="8"/>
  <c r="L34" i="9"/>
  <c r="L35" i="9" s="1"/>
  <c r="K104" i="8"/>
  <c r="K106" i="8" s="1"/>
  <c r="K62" i="8"/>
  <c r="M8" i="8"/>
  <c r="M9" i="8" s="1"/>
  <c r="M10" i="8"/>
  <c r="M43" i="8"/>
  <c r="M34" i="9" s="1"/>
  <c r="M35" i="9" s="1"/>
  <c r="M16" i="8"/>
  <c r="M11" i="8"/>
  <c r="M110" i="8"/>
  <c r="N7" i="8"/>
  <c r="I17" i="8"/>
  <c r="F171" i="8"/>
  <c r="F172" i="8" s="1"/>
  <c r="F173" i="8" s="1"/>
  <c r="F177" i="8" s="1"/>
  <c r="F178" i="8" s="1"/>
  <c r="I8" i="9"/>
  <c r="J78" i="8"/>
  <c r="G176" i="8"/>
  <c r="J109" i="8"/>
  <c r="I48" i="8"/>
  <c r="L56" i="8"/>
  <c r="L38" i="9" s="1"/>
  <c r="L39" i="9" s="1"/>
  <c r="L44" i="8"/>
  <c r="L103" i="8" s="1"/>
  <c r="K86" i="8"/>
  <c r="H18" i="9"/>
  <c r="H12" i="9"/>
  <c r="H91" i="8"/>
  <c r="H75" i="8"/>
  <c r="H79" i="8" s="1"/>
  <c r="K36" i="9"/>
  <c r="K37" i="9" s="1"/>
  <c r="K26" i="9" s="1"/>
  <c r="K7" i="9"/>
  <c r="O34" i="8"/>
  <c r="Q49" i="8"/>
  <c r="L36" i="9" l="1"/>
  <c r="L37" i="9" s="1"/>
  <c r="L26" i="9" s="1"/>
  <c r="K78" i="8"/>
  <c r="H176" i="8"/>
  <c r="H66" i="8"/>
  <c r="H93" i="8"/>
  <c r="M102" i="8"/>
  <c r="J175" i="8"/>
  <c r="M82" i="8"/>
  <c r="I9" i="9"/>
  <c r="I18" i="8"/>
  <c r="I19" i="8" s="1"/>
  <c r="M56" i="8"/>
  <c r="M38" i="9" s="1"/>
  <c r="M39" i="9" s="1"/>
  <c r="M44" i="8"/>
  <c r="M103" i="8" s="1"/>
  <c r="I40" i="9"/>
  <c r="N43" i="8"/>
  <c r="N34" i="9" s="1"/>
  <c r="N35" i="9" s="1"/>
  <c r="N16" i="8"/>
  <c r="N11" i="8"/>
  <c r="N8" i="8"/>
  <c r="N10" i="8"/>
  <c r="N110" i="8"/>
  <c r="O7" i="8"/>
  <c r="N9" i="8"/>
  <c r="M85" i="8"/>
  <c r="M77" i="8"/>
  <c r="L7" i="9"/>
  <c r="H95" i="8"/>
  <c r="H97" i="8" s="1"/>
  <c r="L104" i="8"/>
  <c r="L106" i="8" s="1"/>
  <c r="L62" i="8"/>
  <c r="J13" i="8"/>
  <c r="J111" i="8"/>
  <c r="J76" i="8" s="1"/>
  <c r="M12" i="8"/>
  <c r="M6" i="9"/>
  <c r="L86" i="8"/>
  <c r="P34" i="8"/>
  <c r="M36" i="9" l="1"/>
  <c r="M37" i="9" s="1"/>
  <c r="M26" i="9" s="1"/>
  <c r="N102" i="8"/>
  <c r="J112" i="8"/>
  <c r="K109" i="8" s="1"/>
  <c r="L78" i="8"/>
  <c r="I176" i="8"/>
  <c r="N12" i="8"/>
  <c r="N6" i="9"/>
  <c r="N56" i="8"/>
  <c r="N44" i="8"/>
  <c r="N103" i="8" s="1"/>
  <c r="H67" i="8"/>
  <c r="O10" i="8"/>
  <c r="O43" i="8"/>
  <c r="O34" i="9" s="1"/>
  <c r="O35" i="9" s="1"/>
  <c r="O16" i="8"/>
  <c r="O11" i="8"/>
  <c r="O8" i="8"/>
  <c r="O9" i="8" s="1"/>
  <c r="O110" i="8"/>
  <c r="P7" i="8"/>
  <c r="M7" i="9"/>
  <c r="H41" i="8"/>
  <c r="I96" i="8"/>
  <c r="K175" i="8"/>
  <c r="N82" i="8"/>
  <c r="N85" i="8"/>
  <c r="N77" i="8"/>
  <c r="M86" i="8"/>
  <c r="G174" i="8"/>
  <c r="J14" i="8"/>
  <c r="O102" i="8"/>
  <c r="M104" i="8"/>
  <c r="M106" i="8" s="1"/>
  <c r="M62" i="8"/>
  <c r="I12" i="9"/>
  <c r="I18" i="9"/>
  <c r="I75" i="8"/>
  <c r="I79" i="8" s="1"/>
  <c r="I91" i="8"/>
  <c r="I93" i="8" s="1"/>
  <c r="Q34" i="8"/>
  <c r="H11" i="9" l="1"/>
  <c r="J48" i="8"/>
  <c r="N86" i="8"/>
  <c r="M78" i="8"/>
  <c r="J176" i="8"/>
  <c r="I95" i="8"/>
  <c r="I97" i="8" s="1"/>
  <c r="J17" i="8"/>
  <c r="G171" i="8"/>
  <c r="G172" i="8" s="1"/>
  <c r="G173" i="8" s="1"/>
  <c r="G177" i="8" s="1"/>
  <c r="G178" i="8" s="1"/>
  <c r="J8" i="9"/>
  <c r="H25" i="9"/>
  <c r="H23" i="9"/>
  <c r="H53" i="8"/>
  <c r="H24" i="9"/>
  <c r="P10" i="8"/>
  <c r="P43" i="8"/>
  <c r="P34" i="9" s="1"/>
  <c r="P35" i="9" s="1"/>
  <c r="P16" i="8"/>
  <c r="P11" i="8"/>
  <c r="P8" i="8"/>
  <c r="P9" i="8" s="1"/>
  <c r="Q7" i="8"/>
  <c r="P110" i="8"/>
  <c r="O85" i="8"/>
  <c r="O77" i="8"/>
  <c r="L175" i="8"/>
  <c r="O82" i="8"/>
  <c r="I66" i="8"/>
  <c r="N104" i="8"/>
  <c r="N106" i="8" s="1"/>
  <c r="N62" i="8"/>
  <c r="N7" i="9"/>
  <c r="J40" i="9"/>
  <c r="O56" i="8"/>
  <c r="O44" i="8"/>
  <c r="O103" i="8" s="1"/>
  <c r="H69" i="8"/>
  <c r="H31" i="9"/>
  <c r="H30" i="9"/>
  <c r="H17" i="9"/>
  <c r="H19" i="9"/>
  <c r="N38" i="9"/>
  <c r="N39" i="9" s="1"/>
  <c r="K13" i="8"/>
  <c r="K111" i="8"/>
  <c r="O12" i="8"/>
  <c r="O6" i="9"/>
  <c r="N36" i="9"/>
  <c r="N37" i="9" s="1"/>
  <c r="N26" i="9" l="1"/>
  <c r="O86" i="8"/>
  <c r="P102" i="8"/>
  <c r="N78" i="8"/>
  <c r="K176" i="8"/>
  <c r="P12" i="8"/>
  <c r="P6" i="9"/>
  <c r="H15" i="9"/>
  <c r="H71" i="8"/>
  <c r="H29" i="9"/>
  <c r="H16" i="9"/>
  <c r="O104" i="8"/>
  <c r="O106" i="8" s="1"/>
  <c r="O62" i="8"/>
  <c r="J9" i="9"/>
  <c r="J18" i="8"/>
  <c r="J19" i="8" s="1"/>
  <c r="O7" i="9"/>
  <c r="O38" i="9"/>
  <c r="O39" i="9" s="1"/>
  <c r="I67" i="8"/>
  <c r="M175" i="8"/>
  <c r="P82" i="8"/>
  <c r="P77" i="8"/>
  <c r="P85" i="8"/>
  <c r="H174" i="8"/>
  <c r="K14" i="8"/>
  <c r="P56" i="8"/>
  <c r="P38" i="9" s="1"/>
  <c r="P39" i="9" s="1"/>
  <c r="P44" i="8"/>
  <c r="P36" i="9" s="1"/>
  <c r="P37" i="9" s="1"/>
  <c r="K112" i="8"/>
  <c r="K76" i="8"/>
  <c r="O36" i="9"/>
  <c r="O37" i="9" s="1"/>
  <c r="O26" i="9" s="1"/>
  <c r="Q8" i="8"/>
  <c r="Q9" i="8" s="1"/>
  <c r="Q10" i="8"/>
  <c r="Q43" i="8"/>
  <c r="Q34" i="9" s="1"/>
  <c r="Q35" i="9" s="1"/>
  <c r="Q16" i="8"/>
  <c r="Q11" i="8"/>
  <c r="Q110" i="8"/>
  <c r="J96" i="8"/>
  <c r="I41" i="8"/>
  <c r="I11" i="9" l="1"/>
  <c r="P103" i="8"/>
  <c r="P86" i="8"/>
  <c r="P26" i="9"/>
  <c r="I23" i="9"/>
  <c r="I25" i="9"/>
  <c r="I24" i="9"/>
  <c r="I53" i="8"/>
  <c r="Q12" i="8"/>
  <c r="Q6" i="9"/>
  <c r="Q102" i="8"/>
  <c r="Q85" i="8"/>
  <c r="Q77" i="8"/>
  <c r="L109" i="8"/>
  <c r="K48" i="8"/>
  <c r="O78" i="8"/>
  <c r="L176" i="8"/>
  <c r="P7" i="9"/>
  <c r="N175" i="8"/>
  <c r="Q82" i="8"/>
  <c r="Q86" i="8" s="1"/>
  <c r="K17" i="8"/>
  <c r="H171" i="8"/>
  <c r="H172" i="8" s="1"/>
  <c r="H173" i="8" s="1"/>
  <c r="H177" i="8" s="1"/>
  <c r="H178" i="8" s="1"/>
  <c r="K8" i="9"/>
  <c r="I69" i="8"/>
  <c r="I31" i="9"/>
  <c r="I30" i="9"/>
  <c r="I19" i="9"/>
  <c r="I17" i="9"/>
  <c r="Q56" i="8"/>
  <c r="Q44" i="8"/>
  <c r="Q103" i="8" s="1"/>
  <c r="P104" i="8"/>
  <c r="P106" i="8" s="1"/>
  <c r="P62" i="8"/>
  <c r="J12" i="9"/>
  <c r="J18" i="9"/>
  <c r="J91" i="8"/>
  <c r="J75" i="8"/>
  <c r="J79" i="8" s="1"/>
  <c r="Q36" i="9" l="1"/>
  <c r="Q37" i="9" s="1"/>
  <c r="P78" i="8"/>
  <c r="M176" i="8"/>
  <c r="K40" i="9"/>
  <c r="I71" i="8"/>
  <c r="I29" i="9"/>
  <c r="I15" i="9"/>
  <c r="I16" i="9"/>
  <c r="K9" i="9"/>
  <c r="K18" i="8"/>
  <c r="K19" i="8" s="1"/>
  <c r="L13" i="8"/>
  <c r="L111" i="8"/>
  <c r="L76" i="8" s="1"/>
  <c r="Q104" i="8"/>
  <c r="Q106" i="8" s="1"/>
  <c r="Q62" i="8"/>
  <c r="J93" i="8"/>
  <c r="J95" i="8" s="1"/>
  <c r="J97" i="8" s="1"/>
  <c r="J66" i="8"/>
  <c r="Q38" i="9"/>
  <c r="Q39" i="9" s="1"/>
  <c r="Q26" i="9" s="1"/>
  <c r="Q7" i="9"/>
  <c r="K96" i="8" l="1"/>
  <c r="J41" i="8"/>
  <c r="Q78" i="8"/>
  <c r="N176" i="8"/>
  <c r="J67" i="8"/>
  <c r="L112" i="8"/>
  <c r="K18" i="9"/>
  <c r="K12" i="9"/>
  <c r="K91" i="8"/>
  <c r="K93" i="8" s="1"/>
  <c r="K75" i="8"/>
  <c r="K79" i="8" s="1"/>
  <c r="I174" i="8"/>
  <c r="L14" i="8"/>
  <c r="J11" i="9" l="1"/>
  <c r="M109" i="8"/>
  <c r="L48" i="8"/>
  <c r="L17" i="8"/>
  <c r="I171" i="8"/>
  <c r="I172" i="8" s="1"/>
  <c r="I173" i="8" s="1"/>
  <c r="I177" i="8" s="1"/>
  <c r="I178" i="8" s="1"/>
  <c r="L8" i="9"/>
  <c r="J69" i="8"/>
  <c r="J30" i="9"/>
  <c r="J31" i="9"/>
  <c r="J17" i="9"/>
  <c r="J19" i="9"/>
  <c r="J53" i="8"/>
  <c r="J23" i="9"/>
  <c r="J25" i="9"/>
  <c r="J24" i="9"/>
  <c r="K95" i="8"/>
  <c r="K97" i="8" s="1"/>
  <c r="K66" i="8"/>
  <c r="L9" i="9" l="1"/>
  <c r="L18" i="8"/>
  <c r="L19" i="8" s="1"/>
  <c r="K67" i="8"/>
  <c r="K11" i="9" s="1"/>
  <c r="L40" i="9"/>
  <c r="L96" i="8"/>
  <c r="K41" i="8"/>
  <c r="J29" i="9"/>
  <c r="J71" i="8"/>
  <c r="J15" i="9"/>
  <c r="J16" i="9"/>
  <c r="M13" i="8"/>
  <c r="M111" i="8"/>
  <c r="M76" i="8" s="1"/>
  <c r="M112" i="8" l="1"/>
  <c r="L18" i="9"/>
  <c r="L12" i="9"/>
  <c r="L75" i="8"/>
  <c r="L79" i="8" s="1"/>
  <c r="L91" i="8"/>
  <c r="L93" i="8" s="1"/>
  <c r="K24" i="9"/>
  <c r="K53" i="8"/>
  <c r="K23" i="9"/>
  <c r="K25" i="9"/>
  <c r="K69" i="8"/>
  <c r="K30" i="9"/>
  <c r="K31" i="9"/>
  <c r="K19" i="9"/>
  <c r="K17" i="9"/>
  <c r="N109" i="8"/>
  <c r="M48" i="8"/>
  <c r="J174" i="8"/>
  <c r="M14" i="8"/>
  <c r="L66" i="8"/>
  <c r="M17" i="8" l="1"/>
  <c r="J171" i="8"/>
  <c r="J172" i="8" s="1"/>
  <c r="J173" i="8" s="1"/>
  <c r="J177" i="8" s="1"/>
  <c r="J178" i="8" s="1"/>
  <c r="M8" i="9"/>
  <c r="N13" i="8"/>
  <c r="N111" i="8"/>
  <c r="N76" i="8" s="1"/>
  <c r="K29" i="9"/>
  <c r="K71" i="8"/>
  <c r="K15" i="9"/>
  <c r="K16" i="9"/>
  <c r="L67" i="8"/>
  <c r="M40" i="9"/>
  <c r="L95" i="8"/>
  <c r="L97" i="8" s="1"/>
  <c r="K174" i="8" l="1"/>
  <c r="N14" i="8"/>
  <c r="L41" i="8"/>
  <c r="L11" i="9" s="1"/>
  <c r="M96" i="8"/>
  <c r="L69" i="8"/>
  <c r="L30" i="9"/>
  <c r="L31" i="9"/>
  <c r="L17" i="9"/>
  <c r="L19" i="9"/>
  <c r="N112" i="8"/>
  <c r="M9" i="9"/>
  <c r="M18" i="8"/>
  <c r="M19" i="8" s="1"/>
  <c r="L24" i="9" l="1"/>
  <c r="L23" i="9"/>
  <c r="L25" i="9"/>
  <c r="L53" i="8"/>
  <c r="O109" i="8"/>
  <c r="N48" i="8"/>
  <c r="N17" i="8"/>
  <c r="K171" i="8"/>
  <c r="K172" i="8" s="1"/>
  <c r="K173" i="8" s="1"/>
  <c r="K177" i="8" s="1"/>
  <c r="K178" i="8" s="1"/>
  <c r="N8" i="9"/>
  <c r="M12" i="9"/>
  <c r="M18" i="9"/>
  <c r="M75" i="8"/>
  <c r="M79" i="8" s="1"/>
  <c r="M91" i="8"/>
  <c r="M93" i="8" s="1"/>
  <c r="M66" i="8"/>
  <c r="N9" i="9" l="1"/>
  <c r="N18" i="8"/>
  <c r="N19" i="8" s="1"/>
  <c r="M95" i="8"/>
  <c r="M97" i="8" s="1"/>
  <c r="N40" i="9"/>
  <c r="M67" i="8"/>
  <c r="O13" i="8"/>
  <c r="O111" i="8"/>
  <c r="L71" i="8"/>
  <c r="L29" i="9"/>
  <c r="L15" i="9"/>
  <c r="L16" i="9"/>
  <c r="N96" i="8" l="1"/>
  <c r="M41" i="8"/>
  <c r="M11" i="9" s="1"/>
  <c r="O112" i="8"/>
  <c r="O76" i="8"/>
  <c r="N12" i="9"/>
  <c r="N18" i="9"/>
  <c r="N91" i="8"/>
  <c r="N93" i="8" s="1"/>
  <c r="N75" i="8"/>
  <c r="N79" i="8" s="1"/>
  <c r="L174" i="8"/>
  <c r="O14" i="8"/>
  <c r="M69" i="8"/>
  <c r="M31" i="9"/>
  <c r="M30" i="9"/>
  <c r="M17" i="9"/>
  <c r="M19" i="9"/>
  <c r="N95" i="8" l="1"/>
  <c r="P109" i="8"/>
  <c r="O48" i="8"/>
  <c r="N97" i="8"/>
  <c r="M23" i="9"/>
  <c r="M25" i="9"/>
  <c r="M53" i="8"/>
  <c r="M24" i="9"/>
  <c r="O17" i="8"/>
  <c r="L171" i="8"/>
  <c r="L172" i="8" s="1"/>
  <c r="L173" i="8" s="1"/>
  <c r="L177" i="8" s="1"/>
  <c r="L178" i="8" s="1"/>
  <c r="O8" i="9"/>
  <c r="N66" i="8"/>
  <c r="O96" i="8" l="1"/>
  <c r="N41" i="8"/>
  <c r="O9" i="9"/>
  <c r="O18" i="8"/>
  <c r="O19" i="8" s="1"/>
  <c r="N67" i="8"/>
  <c r="M71" i="8"/>
  <c r="M29" i="9"/>
  <c r="M16" i="9"/>
  <c r="M15" i="9"/>
  <c r="O40" i="9"/>
  <c r="P13" i="8"/>
  <c r="P111" i="8"/>
  <c r="N11" i="9" l="1"/>
  <c r="P112" i="8"/>
  <c r="P76" i="8"/>
  <c r="M174" i="8"/>
  <c r="P14" i="8"/>
  <c r="N69" i="8"/>
  <c r="N30" i="9"/>
  <c r="N31" i="9"/>
  <c r="N17" i="9"/>
  <c r="N19" i="9"/>
  <c r="N24" i="9"/>
  <c r="N25" i="9"/>
  <c r="N53" i="8"/>
  <c r="N23" i="9"/>
  <c r="O18" i="9"/>
  <c r="O12" i="9"/>
  <c r="O91" i="8"/>
  <c r="O75" i="8"/>
  <c r="O79" i="8" s="1"/>
  <c r="P17" i="8" l="1"/>
  <c r="M171" i="8"/>
  <c r="M172" i="8" s="1"/>
  <c r="M173" i="8" s="1"/>
  <c r="M177" i="8" s="1"/>
  <c r="M178" i="8" s="1"/>
  <c r="P8" i="9"/>
  <c r="O93" i="8"/>
  <c r="O95" i="8" s="1"/>
  <c r="O97" i="8" s="1"/>
  <c r="O66" i="8"/>
  <c r="N16" i="9"/>
  <c r="N71" i="8"/>
  <c r="N29" i="9"/>
  <c r="N15" i="9"/>
  <c r="Q109" i="8"/>
  <c r="P48" i="8"/>
  <c r="P96" i="8" l="1"/>
  <c r="O41" i="8"/>
  <c r="Q13" i="8"/>
  <c r="Q111" i="8"/>
  <c r="Q76" i="8" s="1"/>
  <c r="P40" i="9"/>
  <c r="O67" i="8"/>
  <c r="O11" i="9" s="1"/>
  <c r="P9" i="9"/>
  <c r="P18" i="8"/>
  <c r="P19" i="8" s="1"/>
  <c r="P18" i="9" l="1"/>
  <c r="P12" i="9"/>
  <c r="P75" i="8"/>
  <c r="P79" i="8" s="1"/>
  <c r="P91" i="8"/>
  <c r="P93" i="8" s="1"/>
  <c r="Q112" i="8"/>
  <c r="Q48" i="8" s="1"/>
  <c r="Q40" i="9" s="1"/>
  <c r="N174" i="8"/>
  <c r="Q14" i="8"/>
  <c r="O25" i="9"/>
  <c r="O24" i="9"/>
  <c r="O53" i="8"/>
  <c r="O23" i="9"/>
  <c r="O69" i="8"/>
  <c r="O30" i="9"/>
  <c r="O31" i="9"/>
  <c r="O17" i="9"/>
  <c r="O19" i="9"/>
  <c r="P66" i="8" l="1"/>
  <c r="P67" i="8" s="1"/>
  <c r="Q17" i="8"/>
  <c r="N171" i="8"/>
  <c r="Q8" i="9"/>
  <c r="O15" i="9"/>
  <c r="O29" i="9"/>
  <c r="O71" i="8"/>
  <c r="O16" i="9"/>
  <c r="P95" i="8"/>
  <c r="P97" i="8" s="1"/>
  <c r="Q96" i="8" l="1"/>
  <c r="P41" i="8"/>
  <c r="P11" i="9" s="1"/>
  <c r="Q9" i="9"/>
  <c r="Q18" i="8"/>
  <c r="Q19" i="8" s="1"/>
  <c r="P69" i="8"/>
  <c r="P30" i="9"/>
  <c r="P31" i="9"/>
  <c r="P17" i="9"/>
  <c r="P19" i="9"/>
  <c r="N172" i="8"/>
  <c r="N173" i="8" s="1"/>
  <c r="N177" i="8" s="1"/>
  <c r="D182" i="8"/>
  <c r="N178" i="8" l="1"/>
  <c r="I181" i="8" s="1"/>
  <c r="I183" i="8" s="1"/>
  <c r="O177" i="8"/>
  <c r="O178" i="8" s="1"/>
  <c r="P23" i="9"/>
  <c r="P25" i="9"/>
  <c r="P53" i="8"/>
  <c r="P24" i="9"/>
  <c r="Q12" i="9"/>
  <c r="Q18" i="9"/>
  <c r="Q75" i="8"/>
  <c r="Q79" i="8" s="1"/>
  <c r="Q91" i="8"/>
  <c r="Q93" i="8" s="1"/>
  <c r="C179" i="8" l="1"/>
  <c r="H181" i="8" s="1"/>
  <c r="H183" i="8" s="1"/>
  <c r="C8" i="3"/>
  <c r="Q66" i="8"/>
  <c r="Q67" i="8" s="1"/>
  <c r="Q95" i="8"/>
  <c r="Q97" i="8" s="1"/>
  <c r="Q41" i="8" s="1"/>
  <c r="P15" i="9"/>
  <c r="P71" i="8"/>
  <c r="P29" i="9"/>
  <c r="P16" i="9"/>
  <c r="Q11" i="9" l="1"/>
  <c r="C7" i="3"/>
  <c r="D7" i="3"/>
  <c r="Q69" i="8"/>
  <c r="Q31" i="9"/>
  <c r="Q30" i="9"/>
  <c r="Q17" i="9"/>
  <c r="Q19" i="9"/>
  <c r="Q24" i="9"/>
  <c r="Q23" i="9"/>
  <c r="Q25" i="9"/>
  <c r="Q53" i="8"/>
  <c r="D8" i="3" l="1"/>
  <c r="I185" i="8"/>
  <c r="I188" i="8" s="1"/>
  <c r="H185" i="8"/>
  <c r="H188" i="8" s="1"/>
  <c r="Q29" i="9"/>
  <c r="Q71" i="8"/>
  <c r="Q15" i="9"/>
  <c r="Q16" i="9"/>
  <c r="D195" i="8" l="1"/>
  <c r="C163" i="8"/>
  <c r="E7" i="3"/>
  <c r="G7" i="3" s="1"/>
  <c r="H7" i="3" s="1"/>
  <c r="I7" i="3" s="1"/>
  <c r="D204" i="8"/>
  <c r="E8" i="3"/>
  <c r="G8" i="3" s="1"/>
  <c r="H8" i="3" s="1"/>
  <c r="I8" i="3" s="1"/>
</calcChain>
</file>

<file path=xl/sharedStrings.xml><?xml version="1.0" encoding="utf-8"?>
<sst xmlns="http://schemas.openxmlformats.org/spreadsheetml/2006/main" count="601" uniqueCount="499">
  <si>
    <t>Britannia Industries Ltd</t>
  </si>
  <si>
    <t>Britannia Industries LTD</t>
  </si>
  <si>
    <t>Financial Statement Model &amp; DCF Valuation----Index</t>
  </si>
  <si>
    <t>BSE: 500825 | NSE: BRITANNIA  | ISIN: INE216A01030 | Currency: All figures in ₹ Crore unless stated (Comps in ₹ Crore)</t>
  </si>
  <si>
    <t>Sheet</t>
  </si>
  <si>
    <t>Content</t>
  </si>
  <si>
    <t>Income Statement</t>
  </si>
  <si>
    <t>#</t>
  </si>
  <si>
    <t>(a) Property, plant and equipment</t>
  </si>
  <si>
    <t>(b) Capital work-in-progress</t>
  </si>
  <si>
    <t>(c) Investment property</t>
  </si>
  <si>
    <t>(d) Goodwill</t>
  </si>
  <si>
    <t>(e) Other intangible assets</t>
  </si>
  <si>
    <t>(g) Financial assets</t>
  </si>
  <si>
    <t>(i) Investments</t>
  </si>
  <si>
    <t>(ii) Loans receivable</t>
  </si>
  <si>
    <t>(iii) Other financial assets</t>
  </si>
  <si>
    <t>(h) Deferred tax assets (net)</t>
  </si>
  <si>
    <t>(i) Tax assets (net)</t>
  </si>
  <si>
    <t>(j) Other non-current assets</t>
  </si>
  <si>
    <t>Total non-current assets</t>
  </si>
  <si>
    <t>(a) Inventories</t>
  </si>
  <si>
    <t>(b) Financial assets</t>
  </si>
  <si>
    <t>(ii) Trade receivables</t>
  </si>
  <si>
    <t>(iii) Cash and cash equivalents</t>
  </si>
  <si>
    <t>(iv) Bank balances other than (iii) above</t>
  </si>
  <si>
    <t>(v) Loans receivable</t>
  </si>
  <si>
    <t>(vi) Other financial assets</t>
  </si>
  <si>
    <t>(c) Other current assets</t>
  </si>
  <si>
    <t>Total current assets</t>
  </si>
  <si>
    <t>Total assets</t>
  </si>
  <si>
    <t>(a) Equity share capital</t>
  </si>
  <si>
    <t>(b) Other equity</t>
  </si>
  <si>
    <t>Equity attributable to equity holders of the parent</t>
  </si>
  <si>
    <t>Non-controlling interests</t>
  </si>
  <si>
    <t>Total equity</t>
  </si>
  <si>
    <t>(a) Financial liabilities</t>
  </si>
  <si>
    <t>(i) Borrowings</t>
  </si>
  <si>
    <t>(ii) Lease Liabilities</t>
  </si>
  <si>
    <t>(iii) Other financial liabilities</t>
  </si>
  <si>
    <t>(b) Deferred tax liabilities (net)</t>
  </si>
  <si>
    <t>Total non-current liabilities</t>
  </si>
  <si>
    <t>(iii) Trade payables</t>
  </si>
  <si>
    <t>(a) total outstanding dues of micro enterprises and small enterprises</t>
  </si>
  <si>
    <t>(b) total outstanding dues of creditors other than micro enterprises and small enterprises</t>
  </si>
  <si>
    <t>(iv) Other financial liabilities</t>
  </si>
  <si>
    <t>(b) Other current liabilities</t>
  </si>
  <si>
    <t>(c) Provisions</t>
  </si>
  <si>
    <t>(d) Tax liabilities (net)</t>
  </si>
  <si>
    <t>Total current liabilities</t>
  </si>
  <si>
    <t>Total liabilities</t>
  </si>
  <si>
    <t>Total equity and liabilities</t>
  </si>
  <si>
    <t>I Revenue from operations</t>
  </si>
  <si>
    <t>Sale of goods / Income from operations</t>
  </si>
  <si>
    <t>Other operating revenues</t>
  </si>
  <si>
    <t>II Other income</t>
  </si>
  <si>
    <t>III Total income (I+II)</t>
  </si>
  <si>
    <t>IV Expenses</t>
  </si>
  <si>
    <t>Cost of materials consumed</t>
  </si>
  <si>
    <t>Purchases of stock-in-trade</t>
  </si>
  <si>
    <t>Changes in inventories of finished goods, work-in-progress and stock-in-trade</t>
  </si>
  <si>
    <t>Employee benefits expense</t>
  </si>
  <si>
    <t>Finance costs</t>
  </si>
  <si>
    <t>Depreciation and amortisation expense</t>
  </si>
  <si>
    <t>Other expenses</t>
  </si>
  <si>
    <t>Total expenses</t>
  </si>
  <si>
    <t>V Profit before share of profits / (loss) of associates (III-IV)</t>
  </si>
  <si>
    <t>VI Share of profit / (loss) of associates</t>
  </si>
  <si>
    <t>VII Profit before exceptional items and tax (V+VI)</t>
  </si>
  <si>
    <t>VIII Exceptional items (Refer Note 54)</t>
  </si>
  <si>
    <t>IX Profit before tax (VII-VIII)</t>
  </si>
  <si>
    <t>X Tax expense:</t>
  </si>
  <si>
    <t>(i) Current tax</t>
  </si>
  <si>
    <t>(ii) Deferred tax</t>
  </si>
  <si>
    <t>XI Profit for the year (IX-X)</t>
  </si>
  <si>
    <t>-</t>
  </si>
  <si>
    <t>Total</t>
  </si>
  <si>
    <t>Total Tax</t>
  </si>
  <si>
    <t>Basic Shares Outstanding</t>
  </si>
  <si>
    <t>Diluted Shares Outstanding</t>
  </si>
  <si>
    <t>Basic EPS</t>
  </si>
  <si>
    <t>Diluted EPS</t>
  </si>
  <si>
    <t>(All figures are in ₹ Crore, Except per share)</t>
  </si>
  <si>
    <t>Balance Sheet</t>
  </si>
  <si>
    <t>Assets</t>
  </si>
  <si>
    <t>Non-current assets</t>
  </si>
  <si>
    <t>(f) Investment in associates and joint venture</t>
  </si>
  <si>
    <t>Current assets</t>
  </si>
  <si>
    <t>(d) Assets held-for-sale</t>
  </si>
  <si>
    <t>Equity and liabilities</t>
  </si>
  <si>
    <t>Equity</t>
  </si>
  <si>
    <t>Liabilities</t>
  </si>
  <si>
    <t>Non-current liabilities</t>
  </si>
  <si>
    <t>Current liabilities</t>
  </si>
  <si>
    <t>Financial Statement &amp; DCF Analysis</t>
  </si>
  <si>
    <t>Revenue</t>
  </si>
  <si>
    <t>COGS</t>
  </si>
  <si>
    <t>Gross Profit</t>
  </si>
  <si>
    <t>Salaries &amp; Benefits</t>
  </si>
  <si>
    <t>Other SG&amp;A Expenses</t>
  </si>
  <si>
    <t>EBITDA</t>
  </si>
  <si>
    <t>Depreciation &amp; Amortization</t>
  </si>
  <si>
    <t>EBIT</t>
  </si>
  <si>
    <t>Interest Expense</t>
  </si>
  <si>
    <t>EBT</t>
  </si>
  <si>
    <t>Tax</t>
  </si>
  <si>
    <t>Net Profit</t>
  </si>
  <si>
    <t xml:space="preserve">Other income </t>
  </si>
  <si>
    <t>Ratios &amp; Assumptions</t>
  </si>
  <si>
    <t>Revenue Growth</t>
  </si>
  <si>
    <t>COGS as % of Sales</t>
  </si>
  <si>
    <t>Salaries &amp; benefits as % of Revenue</t>
  </si>
  <si>
    <t>Other SG&amp;A Expenses as % of Revenue</t>
  </si>
  <si>
    <t>D&amp;A as % of opening PP&amp;E</t>
  </si>
  <si>
    <t>Interest as % of opening debt</t>
  </si>
  <si>
    <t>Other Income (Expense) as % of Revenue</t>
  </si>
  <si>
    <t>Taxes Rate</t>
  </si>
  <si>
    <t>Dividend payout ratio</t>
  </si>
  <si>
    <t>Capital Asset Turnover Ratio</t>
  </si>
  <si>
    <t>NA</t>
  </si>
  <si>
    <t>N/A</t>
  </si>
  <si>
    <t>Current Assets</t>
  </si>
  <si>
    <t xml:space="preserve">Cash </t>
  </si>
  <si>
    <t>Bank Deposits</t>
  </si>
  <si>
    <t>Account Receivable</t>
  </si>
  <si>
    <t>Inventory</t>
  </si>
  <si>
    <t>Other current assets</t>
  </si>
  <si>
    <t>Non Current Assets</t>
  </si>
  <si>
    <t>Property, Plant &amp; Equipment</t>
  </si>
  <si>
    <t>Goodwill</t>
  </si>
  <si>
    <t>Financial Assets</t>
  </si>
  <si>
    <t>Other non current assets</t>
  </si>
  <si>
    <t>Investment in associates and joint venture</t>
  </si>
  <si>
    <t>Total Assets</t>
  </si>
  <si>
    <t>Current Liabilities</t>
  </si>
  <si>
    <t>Account Paybles</t>
  </si>
  <si>
    <t>Other current liability</t>
  </si>
  <si>
    <t>Non current liability</t>
  </si>
  <si>
    <t>Debt</t>
  </si>
  <si>
    <t>Other non current liability</t>
  </si>
  <si>
    <t>Total Liabilities</t>
  </si>
  <si>
    <t>Shareholder's Equity</t>
  </si>
  <si>
    <t>Equity Share Capital</t>
  </si>
  <si>
    <t>Retained Earnings</t>
  </si>
  <si>
    <t>Non Controlling Interest</t>
  </si>
  <si>
    <t>Total Equity &amp; Liability</t>
  </si>
  <si>
    <t>Balance Check</t>
  </si>
  <si>
    <t>Cash Flow Statement</t>
  </si>
  <si>
    <t>Net Income</t>
  </si>
  <si>
    <t>Add/Less: Adjustment for non operating items</t>
  </si>
  <si>
    <t>Add/Less: Adjustment for Working Capital Changes</t>
  </si>
  <si>
    <t>Cash From Operating Activities</t>
  </si>
  <si>
    <t>Cash from operating activities</t>
  </si>
  <si>
    <t>Cash From Investing Activities</t>
  </si>
  <si>
    <t>Investment of PP&amp;E</t>
  </si>
  <si>
    <t>Sale of PP&amp;E</t>
  </si>
  <si>
    <t>Purchases / sale of investments</t>
  </si>
  <si>
    <t>Interest received</t>
  </si>
  <si>
    <t>Cash From Financing Activities</t>
  </si>
  <si>
    <t>Issuance/Repayment of Debt</t>
  </si>
  <si>
    <t>Issuance/Repayment of Preference shares - NCI</t>
  </si>
  <si>
    <t>Dividend Paid</t>
  </si>
  <si>
    <t>Interest Paid</t>
  </si>
  <si>
    <t>Net change in cash</t>
  </si>
  <si>
    <t>Add: Cash at beginning of period</t>
  </si>
  <si>
    <t>Cash at end of period</t>
  </si>
  <si>
    <t>Cash flows from operating activities</t>
  </si>
  <si>
    <t>Profit before tax and share of profits / (loss) of associates and joint venture and after</t>
  </si>
  <si>
    <t>exceptional items</t>
  </si>
  <si>
    <t>Adjustments for :</t>
  </si>
  <si>
    <t>Share based (ESOS) expenses</t>
  </si>
  <si>
    <t>Net gain on financial asset measured at fair value through Statement of Profit</t>
  </si>
  <si>
    <t>and Loss</t>
  </si>
  <si>
    <t>Profit on sale of property, plant and equipment</t>
  </si>
  <si>
    <t>Exceptional items-Gain on sale of investments (including fair valuation gain)</t>
  </si>
  <si>
    <t>(Refer note 36)</t>
  </si>
  <si>
    <t>Interest income from financial assets carried at amortised cost</t>
  </si>
  <si>
    <t>Bad debts</t>
  </si>
  <si>
    <t>Changes in</t>
  </si>
  <si>
    <t>Inventories</t>
  </si>
  <si>
    <t>Trade receivables</t>
  </si>
  <si>
    <t>Other financial assets and other assets</t>
  </si>
  <si>
    <t>Trade payables, other financial liabilities, other liabilities and provisions</t>
  </si>
  <si>
    <t>Cash generated from operating activities</t>
  </si>
  <si>
    <t>Income-tax paid, net of refund</t>
  </si>
  <si>
    <t>Net cash generated from operating activities</t>
  </si>
  <si>
    <t>Cash flow from investing activities</t>
  </si>
  <si>
    <t>Acquisition of property, plant and equipment, capital work-in-progress and other</t>
  </si>
  <si>
    <t>intangible assets</t>
  </si>
  <si>
    <t>Consideration paid under business combination</t>
  </si>
  <si>
    <t>Proceeds from sale of property, plant and equipment and assets held-for-sale</t>
  </si>
  <si>
    <t>Purchase of non-current investments</t>
  </si>
  <si>
    <t>Proceeds from sale of non-current investments</t>
  </si>
  <si>
    <t>Sale of current investments, net</t>
  </si>
  <si>
    <t>Investment in joint venture</t>
  </si>
  <si>
    <t>Proceeds from sale of equity shares in subsidiary (net of cash and cash equivalent)</t>
  </si>
  <si>
    <t>[refer note 58 (b)]</t>
  </si>
  <si>
    <t>Derecognition of net asset on loss of control [refer note 58(b)]</t>
  </si>
  <si>
    <t>Inter-corporate deposits placed</t>
  </si>
  <si>
    <t>Inter-corporate deposits redeemed</t>
  </si>
  <si>
    <t>Changes in other bank balances</t>
  </si>
  <si>
    <t>Net cash (used in) / generated from investing activities</t>
  </si>
  <si>
    <t>Cash flow from financing activities</t>
  </si>
  <si>
    <t>Principal payment of lease liabilities</t>
  </si>
  <si>
    <t>Proceeds from lease labilities</t>
  </si>
  <si>
    <t>Interest paid on lease liabilities</t>
  </si>
  <si>
    <t>Interest paid</t>
  </si>
  <si>
    <t>Issue of bonus debentures</t>
  </si>
  <si>
    <t>Proceeds from working capital borrowing, net*</t>
  </si>
  <si>
    <t>Repayment of bonus debentures</t>
  </si>
  <si>
    <t>Proceeds from non-current borrowings</t>
  </si>
  <si>
    <t>Repayment of commercial paper</t>
  </si>
  <si>
    <t>Repayment of term loans</t>
  </si>
  <si>
    <t>Contribution from non-controlling interest</t>
  </si>
  <si>
    <t>Dividends paid (including bonus debentures)</t>
  </si>
  <si>
    <t>Effect of exchange rate changes on cash and cash equivalents</t>
  </si>
  <si>
    <t>Cash and cash equivalents at beginning of the year (Net of bank overdraft)</t>
  </si>
  <si>
    <t>Cash and cash equivalents at end of the year (Net of bank overdraft)</t>
  </si>
  <si>
    <t>Net cash used in financing activities</t>
  </si>
  <si>
    <t>Net change in cash and cash equivalents</t>
  </si>
  <si>
    <t>Supporting Schedules</t>
  </si>
  <si>
    <t>Working Capital</t>
  </si>
  <si>
    <t>Accounts Receivables</t>
  </si>
  <si>
    <t>Accounts Paybles</t>
  </si>
  <si>
    <t>Other Adjustments</t>
  </si>
  <si>
    <t>Property Plant &amp; Equipment</t>
  </si>
  <si>
    <t>Beginning of period</t>
  </si>
  <si>
    <t>Add: Capex</t>
  </si>
  <si>
    <t>Less: Depreciation</t>
  </si>
  <si>
    <t>End of period</t>
  </si>
  <si>
    <t>Debt &amp; Interest</t>
  </si>
  <si>
    <t>Issuance (Repayment)</t>
  </si>
  <si>
    <t>Interest expense</t>
  </si>
  <si>
    <t>Scenario Analysis</t>
  </si>
  <si>
    <t xml:space="preserve">Scenarios </t>
  </si>
  <si>
    <t>Base Case</t>
  </si>
  <si>
    <t>Bull Case</t>
  </si>
  <si>
    <t>Bear Case</t>
  </si>
  <si>
    <t>Annual Growth Tapering</t>
  </si>
  <si>
    <t>Scenario</t>
  </si>
  <si>
    <t>Ratio Analysis</t>
  </si>
  <si>
    <t>Profitability Ratios</t>
  </si>
  <si>
    <t>Gross Margin</t>
  </si>
  <si>
    <t>EBITDA Margin</t>
  </si>
  <si>
    <t>EBIT Margin</t>
  </si>
  <si>
    <t>Pre Tax Margin</t>
  </si>
  <si>
    <t>Effective Tax Rate</t>
  </si>
  <si>
    <t>Net Margin</t>
  </si>
  <si>
    <t>Dupont / Earning Power</t>
  </si>
  <si>
    <t>Asset Turnover</t>
  </si>
  <si>
    <t>Pretax ROA</t>
  </si>
  <si>
    <t>Pretax ROE</t>
  </si>
  <si>
    <t>Tax Complement</t>
  </si>
  <si>
    <t>ROE</t>
  </si>
  <si>
    <t>Reinvestment Rate</t>
  </si>
  <si>
    <t>Liquidity Ratio</t>
  </si>
  <si>
    <t>Current Ratio</t>
  </si>
  <si>
    <t>Quick Ratio</t>
  </si>
  <si>
    <t>Cash Ratio</t>
  </si>
  <si>
    <t>Cash Conversion Cycle</t>
  </si>
  <si>
    <t>Solvency Ratios</t>
  </si>
  <si>
    <t>Asset / Equity</t>
  </si>
  <si>
    <t>Debt / Equity</t>
  </si>
  <si>
    <t>Debt / Total Capital</t>
  </si>
  <si>
    <t>Activity Ratios (Efficiency)</t>
  </si>
  <si>
    <t>Debtor Turnover Ratio</t>
  </si>
  <si>
    <t>DSO</t>
  </si>
  <si>
    <t>Inventory Turnover Ratio</t>
  </si>
  <si>
    <t>DSI</t>
  </si>
  <si>
    <t>Payble Turnover Ratio</t>
  </si>
  <si>
    <t>DPO</t>
  </si>
  <si>
    <t>Fixed Asset Turnover</t>
  </si>
  <si>
    <t>S.No.</t>
  </si>
  <si>
    <t>Company</t>
  </si>
  <si>
    <r>
      <t xml:space="preserve">CMP </t>
    </r>
    <r>
      <rPr>
        <sz val="11"/>
        <color rgb="FF737373"/>
        <rFont val="Arial"/>
        <family val="2"/>
        <charset val="204"/>
      </rPr>
      <t>Rs.</t>
    </r>
  </si>
  <si>
    <r>
      <t xml:space="preserve">No. Eq. Shares </t>
    </r>
    <r>
      <rPr>
        <sz val="11"/>
        <color rgb="FF737373"/>
        <rFont val="Arial"/>
        <family val="2"/>
        <charset val="204"/>
      </rPr>
      <t>Cr.</t>
    </r>
  </si>
  <si>
    <r>
      <t xml:space="preserve">Debt </t>
    </r>
    <r>
      <rPr>
        <sz val="11"/>
        <color rgb="FF737373"/>
        <rFont val="Arial"/>
        <family val="2"/>
        <charset val="204"/>
      </rPr>
      <t>Rs.Cr.</t>
    </r>
  </si>
  <si>
    <r>
      <t xml:space="preserve">Cash </t>
    </r>
    <r>
      <rPr>
        <sz val="11"/>
        <color rgb="FF737373"/>
        <rFont val="Arial"/>
        <family val="2"/>
        <charset val="204"/>
      </rPr>
      <t>Rs.Cr.</t>
    </r>
  </si>
  <si>
    <r>
      <t xml:space="preserve">Sales </t>
    </r>
    <r>
      <rPr>
        <sz val="11"/>
        <color rgb="FF737373"/>
        <rFont val="Arial"/>
        <family val="2"/>
        <charset val="204"/>
      </rPr>
      <t>Rs.Cr.</t>
    </r>
  </si>
  <si>
    <t>EV / EBITDA</t>
  </si>
  <si>
    <r>
      <t xml:space="preserve">Tax 12M </t>
    </r>
    <r>
      <rPr>
        <sz val="11"/>
        <color rgb="FF737373"/>
        <rFont val="Arial"/>
        <family val="2"/>
        <charset val="204"/>
      </rPr>
      <t>Rs.Cr.</t>
    </r>
  </si>
  <si>
    <r>
      <t xml:space="preserve">Current Tax 12M </t>
    </r>
    <r>
      <rPr>
        <sz val="11"/>
        <color rgb="FF737373"/>
        <rFont val="Arial"/>
        <family val="2"/>
        <charset val="204"/>
      </rPr>
      <t>Rs.Cr.</t>
    </r>
  </si>
  <si>
    <r>
      <t xml:space="preserve">Mar Cap </t>
    </r>
    <r>
      <rPr>
        <sz val="11"/>
        <color rgb="FF737373"/>
        <rFont val="Arial"/>
        <family val="2"/>
        <charset val="204"/>
      </rPr>
      <t>Rs.Cr.</t>
    </r>
  </si>
  <si>
    <r>
      <t xml:space="preserve">EV </t>
    </r>
    <r>
      <rPr>
        <sz val="11"/>
        <color rgb="FF737373"/>
        <rFont val="Arial"/>
        <family val="2"/>
        <charset val="204"/>
      </rPr>
      <t>Rs.Cr.</t>
    </r>
  </si>
  <si>
    <r>
      <t xml:space="preserve">NP Ann </t>
    </r>
    <r>
      <rPr>
        <sz val="11"/>
        <color rgb="FF737373"/>
        <rFont val="Arial"/>
        <family val="2"/>
        <charset val="204"/>
      </rPr>
      <t>Rs.Cr.</t>
    </r>
  </si>
  <si>
    <t>Nestle India</t>
  </si>
  <si>
    <t>The Bombay Burmah</t>
  </si>
  <si>
    <t>Mrs Bectors</t>
  </si>
  <si>
    <t>Britannia Industries Limited</t>
  </si>
  <si>
    <t>Bikiaji Foods</t>
  </si>
  <si>
    <t>Comps Valuation</t>
  </si>
  <si>
    <t xml:space="preserve"> </t>
  </si>
  <si>
    <t>Market Data</t>
  </si>
  <si>
    <t>Financial Data</t>
  </si>
  <si>
    <t>Valuation</t>
  </si>
  <si>
    <t>Price</t>
  </si>
  <si>
    <t>Shares</t>
  </si>
  <si>
    <t>Market cap.</t>
  </si>
  <si>
    <t>Cash &amp; cash</t>
  </si>
  <si>
    <t>EV</t>
  </si>
  <si>
    <t>Sales</t>
  </si>
  <si>
    <t>Earnings</t>
  </si>
  <si>
    <t>EV / Sales</t>
  </si>
  <si>
    <t>P / E</t>
  </si>
  <si>
    <t>Company Name</t>
  </si>
  <si>
    <t>₹ / Share</t>
  </si>
  <si>
    <t>Equivalents</t>
  </si>
  <si>
    <t>X</t>
  </si>
  <si>
    <t>in cr</t>
  </si>
  <si>
    <t>₹ cr</t>
  </si>
  <si>
    <t>Average</t>
  </si>
  <si>
    <t>Median</t>
  </si>
  <si>
    <t>Metric</t>
  </si>
  <si>
    <t>Comps</t>
  </si>
  <si>
    <t>Net Debt</t>
  </si>
  <si>
    <t>Equity Value</t>
  </si>
  <si>
    <t>Share Price</t>
  </si>
  <si>
    <t>Equity Market Return</t>
  </si>
  <si>
    <t>Date</t>
  </si>
  <si>
    <t xml:space="preserve">Index </t>
  </si>
  <si>
    <t>Close Price</t>
  </si>
  <si>
    <t>Index</t>
  </si>
  <si>
    <t>No. of Years</t>
  </si>
  <si>
    <t>CAGR---&gt;</t>
  </si>
  <si>
    <t>Nifty 50 TRI</t>
  </si>
  <si>
    <t>Weighted Average Cost of Capital (WACC)</t>
  </si>
  <si>
    <t>Comparable Companies Beta</t>
  </si>
  <si>
    <t xml:space="preserve">Equity </t>
  </si>
  <si>
    <t xml:space="preserve">Total </t>
  </si>
  <si>
    <t>Debt/</t>
  </si>
  <si>
    <t xml:space="preserve">Tax </t>
  </si>
  <si>
    <t xml:space="preserve">Levered </t>
  </si>
  <si>
    <t xml:space="preserve">Unlevered </t>
  </si>
  <si>
    <t>Value</t>
  </si>
  <si>
    <t>Capital</t>
  </si>
  <si>
    <t>Rate %</t>
  </si>
  <si>
    <t>Beta</t>
  </si>
  <si>
    <t>Tax Rate</t>
  </si>
  <si>
    <t xml:space="preserve">Average </t>
  </si>
  <si>
    <t>WACC Calculation</t>
  </si>
  <si>
    <t>Target Capital Structure</t>
  </si>
  <si>
    <t>Proportion of Debt</t>
  </si>
  <si>
    <t>Proportion of Equity</t>
  </si>
  <si>
    <t>Current Capital Structure</t>
  </si>
  <si>
    <t>Market Cap.</t>
  </si>
  <si>
    <t>Total Debt</t>
  </si>
  <si>
    <t>Cost of Debt</t>
  </si>
  <si>
    <t>Pre Tax Cost of Debt</t>
  </si>
  <si>
    <t>After Tax Cost of Debt</t>
  </si>
  <si>
    <t>Cost of Equity</t>
  </si>
  <si>
    <t>Risk Free Rate</t>
  </si>
  <si>
    <t>Equity Risk Premium</t>
  </si>
  <si>
    <t>Levered Equity Beta</t>
  </si>
  <si>
    <t>WACC</t>
  </si>
  <si>
    <t>Company Beta</t>
  </si>
  <si>
    <t xml:space="preserve">% Change </t>
  </si>
  <si>
    <t>Stock</t>
  </si>
  <si>
    <t>% Change</t>
  </si>
  <si>
    <t>Monthly</t>
  </si>
  <si>
    <t>SUMMARY OUTPUT</t>
  </si>
  <si>
    <t>Regression Statistics</t>
  </si>
  <si>
    <t>Multiple R</t>
  </si>
  <si>
    <t>R Square</t>
  </si>
  <si>
    <t>Adjusted R Square</t>
  </si>
  <si>
    <t>Standard Error</t>
  </si>
  <si>
    <t>Observations</t>
  </si>
  <si>
    <t>ANOVA</t>
  </si>
  <si>
    <t>Regression</t>
  </si>
  <si>
    <t>Residual</t>
  </si>
  <si>
    <t>Intercept</t>
  </si>
  <si>
    <t>df</t>
  </si>
  <si>
    <t>SS</t>
  </si>
  <si>
    <t>MS</t>
  </si>
  <si>
    <t>F</t>
  </si>
  <si>
    <t>Significance F</t>
  </si>
  <si>
    <t>Coefficients</t>
  </si>
  <si>
    <t>t Stat</t>
  </si>
  <si>
    <t>P-value</t>
  </si>
  <si>
    <t>Lower 95%</t>
  </si>
  <si>
    <t>Upper 95%</t>
  </si>
  <si>
    <t>Lower 95.0%</t>
  </si>
  <si>
    <t>Upper 95.0%</t>
  </si>
  <si>
    <t>X Variable 1</t>
  </si>
  <si>
    <t>DCF Model</t>
  </si>
  <si>
    <t>Assumptions</t>
  </si>
  <si>
    <t>Transaction Date</t>
  </si>
  <si>
    <t>Fiscal Year End</t>
  </si>
  <si>
    <t>Perpetual Growth rate</t>
  </si>
  <si>
    <t>Discount Rate</t>
  </si>
  <si>
    <t>No. of shares outstanding</t>
  </si>
  <si>
    <t>Equity Value per share</t>
  </si>
  <si>
    <t>Discounted Cash Flow</t>
  </si>
  <si>
    <t>Time Period</t>
  </si>
  <si>
    <t>Year Frac</t>
  </si>
  <si>
    <t>Less: Cash Tax</t>
  </si>
  <si>
    <t>NOPAT</t>
  </si>
  <si>
    <t>Plus: Depreciation &amp; Amortization</t>
  </si>
  <si>
    <t>Less: Capex</t>
  </si>
  <si>
    <t>Less: Changes in Working Capital</t>
  </si>
  <si>
    <t>Unlevered FCF</t>
  </si>
  <si>
    <t>Pv of Unlevered FCF</t>
  </si>
  <si>
    <t>Enterprise Value</t>
  </si>
  <si>
    <t>Terminal Value</t>
  </si>
  <si>
    <t>Perpetual Growth Rate Method</t>
  </si>
  <si>
    <t>Entry</t>
  </si>
  <si>
    <t>Exit</t>
  </si>
  <si>
    <t>DCF</t>
  </si>
  <si>
    <t>Exit Multiple</t>
  </si>
  <si>
    <t>Shares O/S</t>
  </si>
  <si>
    <t>Equity Value/Share</t>
  </si>
  <si>
    <t>Sensitivity Analysis</t>
  </si>
  <si>
    <t>Perpetual Growth Rate</t>
  </si>
  <si>
    <t>Exit EBITDA Multiple</t>
  </si>
  <si>
    <t>BSE: 500825  |  NSE: BRITANNIA   |  ISIN: INE216 A01030 |  Sector: FMCG  |  Industry: Packaged Foods</t>
  </si>
  <si>
    <t>Valuation Methods</t>
  </si>
  <si>
    <t>Market Price</t>
  </si>
  <si>
    <t>Equity Value available</t>
  </si>
  <si>
    <t>for equity share holders</t>
  </si>
  <si>
    <t>Value per share</t>
  </si>
  <si>
    <t>Discount/Premium</t>
  </si>
  <si>
    <t>Discount/Premium%</t>
  </si>
  <si>
    <t>Interpretation</t>
  </si>
  <si>
    <t>Discounted Cash Flow  - Perpetuity Growth</t>
  </si>
  <si>
    <t>Discounted Cash Flow  - Exit Multiple</t>
  </si>
  <si>
    <t>Relative Valuation - EV/EBITDA</t>
  </si>
  <si>
    <t>Relative Valuation - EV/Sales</t>
  </si>
  <si>
    <t>Relative Valuation - Price/Earnings</t>
  </si>
  <si>
    <t>Summary</t>
  </si>
  <si>
    <t>Data Sheet</t>
  </si>
  <si>
    <t>Model</t>
  </si>
  <si>
    <t>Comps Data</t>
  </si>
  <si>
    <t>Market Return</t>
  </si>
  <si>
    <t>Beta &amp; WACC</t>
  </si>
  <si>
    <t>Beta from Regression</t>
  </si>
  <si>
    <t>Investment Summary - Output from different valuation methods</t>
  </si>
  <si>
    <t>Written Assumptions and interpretation behind every forecast driver</t>
  </si>
  <si>
    <t xml:space="preserve">Audited Statement of P/L, B/S, and CFS, FY2022-FY2026 </t>
  </si>
  <si>
    <t xml:space="preserve">10-year forecast (FY27E-FY36E): ratios, 3-statement model, working capital, historical </t>
  </si>
  <si>
    <t>&amp; forecast FCFF, DCF valuation, sensitivity analysis, and Comps analysis</t>
  </si>
  <si>
    <t>All the input of Trading comparables</t>
  </si>
  <si>
    <t>Profitability ratios, Dupont/earning power, Liquidity, solvency, Activity ratios</t>
  </si>
  <si>
    <t>Daily Nifty 50 index closing prices used to derive the equity market return for CAPM</t>
  </si>
  <si>
    <t>Cost of capital build-up: peer beta unlevering/relevering, cost of debt, cost of equity (CAPM)</t>
  </si>
  <si>
    <t>COLOUR CODE</t>
  </si>
  <si>
    <t>Input / hard-coded figure</t>
  </si>
  <si>
    <t>Blue</t>
  </si>
  <si>
    <t>Calculated figure</t>
  </si>
  <si>
    <t>Black</t>
  </si>
  <si>
    <t>Ratio Assumption</t>
  </si>
  <si>
    <t>Revenue growth (Base / Bull / Bear)</t>
  </si>
  <si>
    <t>Base case starts at the FY23-FY26 average growth (7.98%) in FY27E. Bull uses the highest historical growth (15.31%) and Bear the lowest (2.88%). Growth tapers down 3% each year (multiplicative) over FY27E-FY36E, so Base fades from 7.98% to about 6.07% by FY36E. Scenario is selected with the switch in Model!D23 (1 = Base, 2 = Bull, 3 = Bear).</t>
  </si>
  <si>
    <t>Cost ratios (COGS, Salaries, Other SG&amp;A, % of revenue)</t>
  </si>
  <si>
    <t>Held constant for all 10 forecast years at the simple average of the five audited years (FY22-FY26): COGS 58.93%, Salaries &amp; benefits 4.07%, Other SG&amp;A 19.38%. A fixed average avoids blending forecast years into later averages and smooths the FY23-FY24 commodity-price swings.</t>
  </si>
  <si>
    <t>Depreciation (% of opening PP&amp;E)</t>
  </si>
  <si>
    <t>Average of FY23-FY26 rates (11.25%), held constant. FY22 is excluded because opening PP&amp;E for FY22 is not available in the model.</t>
  </si>
  <si>
    <t>Interest rate on debt</t>
  </si>
  <si>
    <t>Average of FY23-FY26 interest / opening debt (7.01%), held constant. Debt is kept flat at the FY26 level (Rs 1,380.28 Cr), with no new issuance or repayment, since Britannia's borrowings are small relative to its equity value.</t>
  </si>
  <si>
    <t>Other income (% of revenue)</t>
  </si>
  <si>
    <t>Average of FY22-FY26 (1.71%), held constant. This includes the FY23 spike (3.66%), so it is slightly generous versus the last three years (about 1.0-1.2%).</t>
  </si>
  <si>
    <t>Tax rate</t>
  </si>
  <si>
    <t>Average effective tax rate of FY22-FY26 (25.17%) is used in the P&amp;L forecast. The DCF uses the latest tax rate from the comps data (22.89%) for cash tax and for the WACC tax shield.</t>
  </si>
  <si>
    <t>Average of FY22-FY26 (91.21%), held constant. This is high because of the special/higher payout years, and it keeps cash from building up excessively on the balance sheet.</t>
  </si>
  <si>
    <t>Working capital (receivable / inventory / payable days)</t>
  </si>
  <si>
    <t>Average of the five audited years, held constant: receivable days 8.51, inventory days 46.90, payable days 59.06. Applied to forecast revenue (receivables) and COGS (inventory, payables). The change in working capital each year flows into cash flow and FCFF with the same sign convention as the cash flow statement.</t>
  </si>
  <si>
    <t>Capital asset turnover / Capex</t>
  </si>
  <si>
    <t>Capital asset turnover (revenue / PP&amp;E) is the five-year average of 6.42x, held constant. Capex is solved as the increase in revenue divided by this turnover, so capex rises with growth.</t>
  </si>
  <si>
    <t>Other balance sheet items</t>
  </si>
  <si>
    <t>Bank deposits, other current assets, goodwill, financial assets, investments in associates, other non-current items, other liabilities, share capital and non-controlling interest are held flat at FY26 levels.</t>
  </si>
  <si>
    <t>Perpetual growth rate</t>
  </si>
  <si>
    <t>Terminal value</t>
  </si>
  <si>
    <t>Historical FCFF</t>
  </si>
  <si>
    <t>FCFF is also calculated for the audited years on the same basis as the forecast (NOPAT + D&amp;A - Capex - increase in working capital), so that forecast cash generation can be checked against actual history.</t>
  </si>
  <si>
    <t>Comparable companies / market data</t>
  </si>
  <si>
    <t>Some important calculation terms</t>
  </si>
  <si>
    <t>7.12%, taken from the 10-year Government of India bond yield.</t>
  </si>
  <si>
    <t>11.61%, calculated on the Market Return sheet from daily Nifty 50 closing prices.</t>
  </si>
  <si>
    <t>4.49%, calculated as market return minus risk-free rate.</t>
  </si>
  <si>
    <t>BRITANNIA INDUSTRIES LTD</t>
  </si>
  <si>
    <t>ASSUMPTIONS</t>
  </si>
  <si>
    <t>Gopal Snacks</t>
  </si>
  <si>
    <t>Britannia Industries Limited - Investment Summary</t>
  </si>
  <si>
    <t>DIO</t>
  </si>
  <si>
    <t>ROIC</t>
  </si>
  <si>
    <t>ROIC (FY26)</t>
  </si>
  <si>
    <t>Terminal Reinvestment Rate</t>
  </si>
  <si>
    <t>Normalized FCF (FY36)</t>
  </si>
  <si>
    <t>Enterprise Value (PV of FCF)</t>
  </si>
  <si>
    <t xml:space="preserve">Market Cap. </t>
  </si>
  <si>
    <t>Upside / (Downside) %</t>
  </si>
  <si>
    <t>Less : NCI</t>
  </si>
  <si>
    <t>Add : Investment in associates and JV</t>
  </si>
  <si>
    <t>U</t>
  </si>
  <si>
    <t>4.5%, reflecting long-run inflation plus modest real growth for a mature packaged foods business. It is below India's long-run nominal GDP growth and below FY36E base revenue growth of about 6.07%. It also stays well below the risk-free rate (7.12%) and WACC (8.98%), so the terminal value is not aggressive.</t>
  </si>
  <si>
    <t xml:space="preserve">Calculated two ways and reported separately in the Summary. (1) Perpetuity growth: terminal-year FCF is normalised as NOPAT × (1 − g ÷ ROIC), using FY26 ROIC of 40.3% (Ratio Analysis, row 11), so reinvestment of about 11.2% of NOPAT supports 4.5% growth; this is capitalised at WACC − g. (2) Exit multiple: the peer average EV/EBITDA (26.1x) applied to FY36E EBITDA; the exit-year EV is discounted at WACC and added to the PV of FY27E–FY36E FCFF.                                                                                                                                    </t>
  </si>
  <si>
    <t>Equity Value Bridge</t>
  </si>
  <si>
    <t>Equity value = EV − net debt (borrowings and leases, less cash, bank deposits and financial assets) − non-controlling interest + investment in associates &amp; JV, all as at 31 March 2026. Value per share uses 24.09 Cr shares.</t>
  </si>
  <si>
    <t>Monthly regression of Britannia Industries stock returns vs Nifty 50 (5-year raw beta)</t>
  </si>
  <si>
    <t>Constructed using CAPM. Cost of equity = risk-free rate + adjusted beta x equity risk premium. Beta is unlevered for the comparable companies (Nestle India, Gopal Snacks, Bikiaji Foods, The Bombay Burmah, Mrs Bectors) and then relevered according to Britannia’s specific capital structure (levered beta 0.42). The cost of debt before tax is 7.01% (5.41% after tax). WACC combines both at Britannia’s debt/capital ratio of 1.15%, resulting in approximately 8.98%.</t>
  </si>
  <si>
    <t>Britannia’s CMP (Rs 4,937.50), share count (24.09 Cr) and market cap are a single input in the Comps Data sheet, used by Comps, DCF and WACC so the same market cap flows everywhere. Peers: Nestle India, Gopal Snacks, Bikiaji Foods, The Bombay Burmah, Mrs Bectors. Market data as closing price of 25-Sep-2026; financials from company results on BSE/NSE. Valuation date in the DCF is 28-Sep-2026 with fiscal year end 31-Mar-2027.</t>
  </si>
</sst>
</file>

<file path=xl/styles.xml><?xml version="1.0" encoding="utf-8"?>
<styleSheet xmlns="http://schemas.openxmlformats.org/spreadsheetml/2006/main" xmlns:mc="http://schemas.openxmlformats.org/markup-compatibility/2006" xmlns:x14ac="http://schemas.microsoft.com/office/spreadsheetml/2009/9/ac" mc:Ignorable="x14ac">
  <numFmts count="16">
    <numFmt numFmtId="164" formatCode="#,##0.0"/>
    <numFmt numFmtId="165" formatCode="0\A"/>
    <numFmt numFmtId="166" formatCode="0\ \A"/>
    <numFmt numFmtId="167" formatCode="0\ \F"/>
    <numFmt numFmtId="168" formatCode="#,##0.0;\(#,##0.0\)"/>
    <numFmt numFmtId="169" formatCode="0\ &quot;Days&quot;"/>
    <numFmt numFmtId="170" formatCode="&quot;    &quot;0.0"/>
    <numFmt numFmtId="171" formatCode="0.00%;\(0.00%\)"/>
    <numFmt numFmtId="172" formatCode="0\x"/>
    <numFmt numFmtId="173" formatCode="0.0\x"/>
    <numFmt numFmtId="174" formatCode="0\ &quot;days&quot;"/>
    <numFmt numFmtId="175" formatCode="0.00\x"/>
    <numFmt numFmtId="176" formatCode="0.0"/>
    <numFmt numFmtId="177" formatCode="#,##0.00;\(#,##0.00\)"/>
    <numFmt numFmtId="178" formatCode="\+0.0%;\-0.0%"/>
    <numFmt numFmtId="179" formatCode="&quot;₹&quot;\ #,##0.0;\(&quot;₹&quot;\ #,##0.0\)"/>
  </numFmts>
  <fonts count="44">
    <font>
      <sz val="11"/>
      <color theme="1"/>
      <name val="Calibri"/>
      <family val="2"/>
    </font>
    <font>
      <sz val="11"/>
      <color theme="1"/>
      <name val="Calibri"/>
      <family val="2"/>
    </font>
    <font>
      <sz val="11"/>
      <color theme="0"/>
      <name val="Calibri"/>
      <family val="2"/>
    </font>
    <font>
      <sz val="14"/>
      <color theme="1"/>
      <name val="Calibri"/>
      <family val="2"/>
    </font>
    <font>
      <b/>
      <sz val="24"/>
      <color theme="0"/>
      <name val="Calibri"/>
      <family val="2"/>
      <charset val="204"/>
    </font>
    <font>
      <sz val="13"/>
      <color theme="1"/>
      <name val="Calibri"/>
      <family val="2"/>
    </font>
    <font>
      <sz val="11"/>
      <color theme="1"/>
      <name val="Calibri"/>
      <family val="2"/>
      <scheme val="minor"/>
    </font>
    <font>
      <sz val="10"/>
      <color rgb="FF777777"/>
      <name val="Calibri"/>
      <family val="2"/>
    </font>
    <font>
      <sz val="11"/>
      <name val="Calibri"/>
      <family val="2"/>
    </font>
    <font>
      <i/>
      <sz val="10"/>
      <color rgb="FF666666"/>
      <name val="Calibri (Body)"/>
    </font>
    <font>
      <b/>
      <sz val="14"/>
      <color theme="0"/>
      <name val="Calibri"/>
      <family val="2"/>
      <charset val="204"/>
    </font>
    <font>
      <b/>
      <sz val="11"/>
      <color theme="0"/>
      <name val="Calibri"/>
      <family val="2"/>
      <charset val="204"/>
    </font>
    <font>
      <b/>
      <sz val="11"/>
      <color theme="1"/>
      <name val="Calibri"/>
      <family val="2"/>
      <charset val="204"/>
    </font>
    <font>
      <sz val="11"/>
      <color theme="1"/>
      <name val="Calibri"/>
      <family val="2"/>
      <charset val="204"/>
    </font>
    <font>
      <b/>
      <sz val="16"/>
      <color theme="0"/>
      <name val="Calibri"/>
      <family val="2"/>
      <charset val="204"/>
    </font>
    <font>
      <sz val="11"/>
      <color rgb="FF00B050"/>
      <name val="Calibri"/>
      <family val="2"/>
    </font>
    <font>
      <sz val="11"/>
      <color rgb="FF3333FF"/>
      <name val="Calibri"/>
      <family val="2"/>
    </font>
    <font>
      <sz val="11"/>
      <color theme="0"/>
      <name val="Calibri"/>
      <family val="2"/>
      <charset val="204"/>
    </font>
    <font>
      <b/>
      <sz val="11"/>
      <name val="Calibri"/>
      <family val="2"/>
      <charset val="204"/>
    </font>
    <font>
      <b/>
      <sz val="11"/>
      <color rgb="FF3333FF"/>
      <name val="Calibri"/>
      <family val="2"/>
    </font>
    <font>
      <b/>
      <sz val="11"/>
      <name val="Calibri"/>
      <family val="2"/>
    </font>
    <font>
      <sz val="11"/>
      <color rgb="FF606F7B"/>
      <name val="Arial"/>
      <family val="2"/>
      <charset val="204"/>
    </font>
    <font>
      <sz val="11"/>
      <color rgb="FF737373"/>
      <name val="Arial"/>
      <family val="2"/>
      <charset val="204"/>
    </font>
    <font>
      <sz val="11"/>
      <color rgb="FF22222F"/>
      <name val="Arial"/>
      <family val="2"/>
      <charset val="204"/>
    </font>
    <font>
      <sz val="11"/>
      <color rgb="FF22222F"/>
      <name val="Arial"/>
      <family val="2"/>
      <charset val="204"/>
    </font>
    <font>
      <u/>
      <sz val="11"/>
      <color theme="10"/>
      <name val="Calibri"/>
      <family val="2"/>
    </font>
    <font>
      <sz val="11"/>
      <color indexed="8"/>
      <name val="Calibri"/>
      <family val="2"/>
      <charset val="204"/>
    </font>
    <font>
      <b/>
      <sz val="10"/>
      <color indexed="8"/>
      <name val="Book Antiqua"/>
      <family val="1"/>
      <charset val="204"/>
    </font>
    <font>
      <i/>
      <sz val="11"/>
      <color theme="1"/>
      <name val="Calibri"/>
      <family val="2"/>
    </font>
    <font>
      <sz val="12"/>
      <color indexed="8"/>
      <name val="Calibri"/>
      <family val="2"/>
      <charset val="204"/>
    </font>
    <font>
      <b/>
      <sz val="11"/>
      <color theme="0"/>
      <name val="Calibri"/>
      <family val="2"/>
    </font>
    <font>
      <b/>
      <u/>
      <sz val="20"/>
      <color theme="0"/>
      <name val="Calibri"/>
      <family val="2"/>
      <charset val="204"/>
    </font>
    <font>
      <i/>
      <sz val="10"/>
      <color rgb="FF555555"/>
      <name val="Calibri"/>
      <family val="2"/>
    </font>
    <font>
      <b/>
      <sz val="10"/>
      <name val="Calibri"/>
      <family val="2"/>
    </font>
    <font>
      <b/>
      <sz val="10"/>
      <color rgb="FF00B0F0"/>
      <name val="Calibri"/>
      <family val="2"/>
    </font>
    <font>
      <sz val="10"/>
      <color rgb="FF3333FF"/>
      <name val="Calibri"/>
      <family val="2"/>
    </font>
    <font>
      <sz val="10"/>
      <color rgb="FF00B050"/>
      <name val="Calibri"/>
      <family val="2"/>
    </font>
    <font>
      <b/>
      <sz val="10"/>
      <color theme="0"/>
      <name val="Calibri"/>
      <family val="2"/>
      <charset val="204"/>
    </font>
    <font>
      <b/>
      <sz val="10"/>
      <name val="Arial"/>
      <family val="2"/>
      <charset val="204"/>
    </font>
    <font>
      <sz val="10"/>
      <name val="Arial"/>
      <family val="2"/>
      <charset val="204"/>
    </font>
    <font>
      <b/>
      <sz val="14"/>
      <name val="Arial"/>
      <family val="2"/>
      <charset val="204"/>
    </font>
    <font>
      <b/>
      <sz val="12"/>
      <name val="Arial"/>
      <family val="2"/>
      <charset val="204"/>
    </font>
    <font>
      <sz val="10"/>
      <color rgb="FF0000FF"/>
      <name val="Arial"/>
      <family val="2"/>
      <charset val="204"/>
    </font>
    <font>
      <b/>
      <sz val="11"/>
      <color theme="1"/>
      <name val="Calibri"/>
      <family val="2"/>
      <charset val="204"/>
      <scheme val="minor"/>
    </font>
  </fonts>
  <fills count="11">
    <fill>
      <patternFill patternType="none"/>
    </fill>
    <fill>
      <patternFill patternType="gray125"/>
    </fill>
    <fill>
      <patternFill patternType="solid">
        <fgColor rgb="FF002060"/>
        <bgColor indexed="64"/>
      </patternFill>
    </fill>
    <fill>
      <patternFill patternType="solid">
        <fgColor theme="0"/>
        <bgColor indexed="64"/>
      </patternFill>
    </fill>
    <fill>
      <patternFill patternType="solid">
        <fgColor theme="0" tint="-0.14999847407452621"/>
        <bgColor indexed="64"/>
      </patternFill>
    </fill>
    <fill>
      <patternFill patternType="solid">
        <fgColor rgb="FFFFFFFF"/>
        <bgColor indexed="64"/>
      </patternFill>
    </fill>
    <fill>
      <patternFill patternType="solid">
        <fgColor theme="8" tint="0.59999389629810485"/>
        <bgColor indexed="64"/>
      </patternFill>
    </fill>
    <fill>
      <patternFill patternType="solid">
        <fgColor theme="3" tint="0.79998168889431442"/>
        <bgColor indexed="64"/>
      </patternFill>
    </fill>
    <fill>
      <patternFill patternType="solid">
        <fgColor theme="4" tint="0.59999389629810485"/>
        <bgColor indexed="64"/>
      </patternFill>
    </fill>
    <fill>
      <patternFill patternType="solid">
        <fgColor theme="9" tint="0.39997558519241921"/>
        <bgColor indexed="64"/>
      </patternFill>
    </fill>
    <fill>
      <patternFill patternType="solid">
        <fgColor rgb="FF92D050"/>
        <bgColor indexed="64"/>
      </patternFill>
    </fill>
  </fills>
  <borders count="33">
    <border>
      <left/>
      <right/>
      <top/>
      <bottom/>
      <diagonal/>
    </border>
    <border>
      <left style="thin">
        <color auto="1"/>
      </left>
      <right style="thin">
        <color auto="1"/>
      </right>
      <top style="thin">
        <color auto="1"/>
      </top>
      <bottom style="thin">
        <color auto="1"/>
      </bottom>
      <diagonal/>
    </border>
    <border>
      <left/>
      <right/>
      <top style="medium">
        <color auto="1"/>
      </top>
      <bottom style="medium">
        <color auto="1"/>
      </bottom>
      <diagonal/>
    </border>
    <border>
      <left/>
      <right/>
      <top style="thin">
        <color auto="1"/>
      </top>
      <bottom/>
      <diagonal/>
    </border>
    <border>
      <left/>
      <right/>
      <top style="thin">
        <color auto="1"/>
      </top>
      <bottom style="thin">
        <color auto="1"/>
      </bottom>
      <diagonal/>
    </border>
    <border>
      <left/>
      <right/>
      <top style="thin">
        <color auto="1"/>
      </top>
      <bottom style="medium">
        <color auto="1"/>
      </bottom>
      <diagonal/>
    </border>
    <border>
      <left/>
      <right/>
      <top style="thin">
        <color auto="1"/>
      </top>
      <bottom style="double">
        <color auto="1"/>
      </bottom>
      <diagonal/>
    </border>
    <border>
      <left/>
      <right/>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top/>
      <bottom style="medium">
        <color auto="1"/>
      </bottom>
      <diagonal/>
    </border>
    <border>
      <left/>
      <right/>
      <top/>
      <bottom style="medium">
        <color theme="9" tint="0.39994506668294322"/>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style="medium">
        <color auto="1"/>
      </right>
      <top/>
      <bottom style="medium">
        <color auto="1"/>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style="thin">
        <color auto="1"/>
      </left>
      <right/>
      <top style="thin">
        <color auto="1"/>
      </top>
      <bottom style="thin">
        <color auto="1"/>
      </bottom>
      <diagonal/>
    </border>
    <border>
      <left/>
      <right/>
      <top style="medium">
        <color indexed="64"/>
      </top>
      <bottom/>
      <diagonal/>
    </border>
    <border>
      <left/>
      <right/>
      <top style="medium">
        <color indexed="64"/>
      </top>
      <bottom style="thin">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5">
    <xf numFmtId="0" fontId="0" fillId="0" borderId="0"/>
    <xf numFmtId="9" fontId="1" fillId="0" borderId="0" applyFont="0" applyFill="0" applyBorder="0" applyAlignment="0" applyProtection="0"/>
    <xf numFmtId="0" fontId="6" fillId="0" borderId="0"/>
    <xf numFmtId="9" fontId="6" fillId="0" borderId="0" applyFont="0" applyFill="0" applyBorder="0" applyAlignment="0" applyProtection="0"/>
    <xf numFmtId="0" fontId="25" fillId="0" borderId="0" applyNumberFormat="0" applyFill="0" applyBorder="0" applyAlignment="0" applyProtection="0"/>
  </cellStyleXfs>
  <cellXfs count="353">
    <xf numFmtId="0" fontId="0" fillId="0" borderId="0" xfId="0"/>
    <xf numFmtId="0" fontId="3" fillId="0" borderId="0" xfId="0" applyFont="1"/>
    <xf numFmtId="0" fontId="0" fillId="2" borderId="0" xfId="0" applyFill="1"/>
    <xf numFmtId="0" fontId="4" fillId="2" borderId="0" xfId="0" applyFont="1" applyFill="1"/>
    <xf numFmtId="0" fontId="5" fillId="0" borderId="0" xfId="0" applyFont="1"/>
    <xf numFmtId="0" fontId="7" fillId="0" borderId="0" xfId="2" applyFont="1"/>
    <xf numFmtId="0" fontId="10" fillId="2" borderId="0" xfId="0" applyFont="1" applyFill="1"/>
    <xf numFmtId="0" fontId="2" fillId="2" borderId="0" xfId="0" applyFont="1" applyFill="1"/>
    <xf numFmtId="0" fontId="11" fillId="2" borderId="0" xfId="0" applyFont="1" applyFill="1"/>
    <xf numFmtId="4" fontId="0" fillId="0" borderId="0" xfId="0" applyNumberFormat="1"/>
    <xf numFmtId="0" fontId="12" fillId="0" borderId="0" xfId="0" applyFont="1"/>
    <xf numFmtId="0" fontId="12" fillId="0" borderId="2" xfId="0" applyFont="1" applyBorder="1"/>
    <xf numFmtId="0" fontId="12" fillId="0" borderId="0" xfId="0" applyFont="1" applyBorder="1"/>
    <xf numFmtId="0" fontId="12" fillId="0" borderId="3" xfId="0" applyFont="1" applyBorder="1"/>
    <xf numFmtId="0" fontId="12" fillId="0" borderId="4" xfId="0" applyFont="1" applyBorder="1"/>
    <xf numFmtId="0" fontId="0" fillId="0" borderId="4" xfId="0" applyBorder="1"/>
    <xf numFmtId="0" fontId="9" fillId="0" borderId="0" xfId="2" applyFont="1"/>
    <xf numFmtId="165" fontId="11" fillId="2" borderId="0" xfId="0" applyNumberFormat="1" applyFont="1" applyFill="1" applyAlignment="1">
      <alignment horizontal="center"/>
    </xf>
    <xf numFmtId="0" fontId="12" fillId="0" borderId="5" xfId="0" applyFont="1" applyBorder="1"/>
    <xf numFmtId="0" fontId="14" fillId="2" borderId="0" xfId="0" applyFont="1" applyFill="1"/>
    <xf numFmtId="166" fontId="11" fillId="2" borderId="0" xfId="0" applyNumberFormat="1" applyFont="1" applyFill="1" applyAlignment="1">
      <alignment horizontal="center"/>
    </xf>
    <xf numFmtId="167" fontId="11" fillId="2" borderId="0" xfId="0" applyNumberFormat="1" applyFont="1" applyFill="1" applyAlignment="1">
      <alignment horizontal="center"/>
    </xf>
    <xf numFmtId="0" fontId="13" fillId="0" borderId="0" xfId="0" applyFont="1" applyFill="1" applyBorder="1"/>
    <xf numFmtId="0" fontId="12" fillId="0" borderId="6" xfId="0" applyFont="1" applyBorder="1"/>
    <xf numFmtId="168" fontId="15" fillId="0" borderId="0" xfId="0" applyNumberFormat="1" applyFont="1"/>
    <xf numFmtId="168" fontId="12" fillId="0" borderId="3" xfId="0" applyNumberFormat="1" applyFont="1" applyBorder="1"/>
    <xf numFmtId="168" fontId="12" fillId="0" borderId="6" xfId="0" applyNumberFormat="1" applyFont="1" applyBorder="1"/>
    <xf numFmtId="0" fontId="11" fillId="2" borderId="0" xfId="0" applyFont="1" applyFill="1"/>
    <xf numFmtId="0" fontId="13" fillId="0" borderId="0" xfId="0" applyFont="1"/>
    <xf numFmtId="0" fontId="0" fillId="0" borderId="0" xfId="0" applyFont="1"/>
    <xf numFmtId="0" fontId="17" fillId="2" borderId="0" xfId="0" applyFont="1" applyFill="1"/>
    <xf numFmtId="0" fontId="0" fillId="0" borderId="0" xfId="0" applyFont="1" applyFill="1" applyBorder="1"/>
    <xf numFmtId="0" fontId="0" fillId="0" borderId="0" xfId="0" applyFont="1" applyBorder="1"/>
    <xf numFmtId="170" fontId="0" fillId="0" borderId="0" xfId="0" applyNumberFormat="1" applyFont="1" applyFill="1" applyBorder="1"/>
    <xf numFmtId="0" fontId="12" fillId="0" borderId="0" xfId="0" applyFont="1"/>
    <xf numFmtId="0" fontId="0" fillId="0" borderId="0" xfId="0" applyFont="1"/>
    <xf numFmtId="168" fontId="15" fillId="0" borderId="0" xfId="0" applyNumberFormat="1" applyFont="1"/>
    <xf numFmtId="0" fontId="12" fillId="0" borderId="0" xfId="0" applyFont="1"/>
    <xf numFmtId="0" fontId="0" fillId="0" borderId="0" xfId="0" applyFont="1"/>
    <xf numFmtId="168" fontId="16" fillId="0" borderId="0" xfId="0" applyNumberFormat="1" applyFont="1"/>
    <xf numFmtId="0" fontId="0" fillId="0" borderId="0" xfId="0"/>
    <xf numFmtId="4" fontId="0" fillId="0" borderId="0" xfId="0" applyNumberFormat="1"/>
    <xf numFmtId="168" fontId="16" fillId="0" borderId="0" xfId="0" applyNumberFormat="1" applyFont="1"/>
    <xf numFmtId="168" fontId="12" fillId="0" borderId="0" xfId="0" applyNumberFormat="1" applyFont="1"/>
    <xf numFmtId="168" fontId="0" fillId="0" borderId="0" xfId="0" applyNumberFormat="1"/>
    <xf numFmtId="0" fontId="12" fillId="0" borderId="5" xfId="0" applyFont="1" applyBorder="1"/>
    <xf numFmtId="0" fontId="0" fillId="0" borderId="0" xfId="0" applyFill="1"/>
    <xf numFmtId="168" fontId="12" fillId="0" borderId="5" xfId="0" applyNumberFormat="1" applyFont="1" applyBorder="1"/>
    <xf numFmtId="0" fontId="0" fillId="0" borderId="0" xfId="0"/>
    <xf numFmtId="0" fontId="12" fillId="0" borderId="0" xfId="0" applyFont="1"/>
    <xf numFmtId="0" fontId="0" fillId="0" borderId="0" xfId="0"/>
    <xf numFmtId="0" fontId="11" fillId="2" borderId="0" xfId="0" applyFont="1" applyFill="1"/>
    <xf numFmtId="0" fontId="12" fillId="0" borderId="0" xfId="0" applyFont="1"/>
    <xf numFmtId="0" fontId="13" fillId="0" borderId="0" xfId="0" applyFont="1"/>
    <xf numFmtId="0" fontId="12" fillId="0" borderId="3" xfId="0" applyFont="1" applyBorder="1"/>
    <xf numFmtId="168" fontId="12" fillId="0" borderId="3" xfId="0" applyNumberFormat="1" applyFont="1" applyBorder="1"/>
    <xf numFmtId="0" fontId="0" fillId="0" borderId="5" xfId="0" applyBorder="1"/>
    <xf numFmtId="0" fontId="17" fillId="2" borderId="0" xfId="0" applyFont="1" applyFill="1"/>
    <xf numFmtId="168" fontId="15" fillId="0" borderId="0" xfId="0" applyNumberFormat="1" applyFont="1"/>
    <xf numFmtId="0" fontId="0" fillId="0" borderId="0" xfId="0" applyFill="1"/>
    <xf numFmtId="0" fontId="2" fillId="0" borderId="0" xfId="0" applyFont="1" applyFill="1"/>
    <xf numFmtId="0" fontId="0" fillId="0" borderId="0" xfId="0" applyAlignment="1">
      <alignment horizontal="center"/>
    </xf>
    <xf numFmtId="0" fontId="0" fillId="0" borderId="0" xfId="0" applyAlignment="1">
      <alignment horizontal="right"/>
    </xf>
    <xf numFmtId="171" fontId="0" fillId="0" borderId="0" xfId="0" applyNumberFormat="1"/>
    <xf numFmtId="0" fontId="0" fillId="0" borderId="0" xfId="0"/>
    <xf numFmtId="0" fontId="11" fillId="2" borderId="0" xfId="0" applyFont="1" applyFill="1"/>
    <xf numFmtId="4" fontId="0" fillId="0" borderId="0" xfId="0" applyNumberFormat="1"/>
    <xf numFmtId="0" fontId="12" fillId="0" borderId="0" xfId="0" applyFont="1"/>
    <xf numFmtId="0" fontId="13" fillId="0" borderId="0" xfId="0" applyFont="1"/>
    <xf numFmtId="0" fontId="16" fillId="0" borderId="0" xfId="0" applyFont="1"/>
    <xf numFmtId="0" fontId="12" fillId="0" borderId="3" xfId="0" applyFont="1" applyBorder="1"/>
    <xf numFmtId="168" fontId="12" fillId="0" borderId="3" xfId="0" applyNumberFormat="1" applyFont="1" applyBorder="1"/>
    <xf numFmtId="0" fontId="12" fillId="0" borderId="5" xfId="0" applyFont="1" applyBorder="1"/>
    <xf numFmtId="0" fontId="17" fillId="2" borderId="0" xfId="0" applyFont="1" applyFill="1"/>
    <xf numFmtId="168" fontId="15" fillId="0" borderId="0" xfId="0" applyNumberFormat="1" applyFont="1"/>
    <xf numFmtId="0" fontId="0" fillId="0" borderId="0" xfId="0" applyFill="1"/>
    <xf numFmtId="0" fontId="19" fillId="0" borderId="0" xfId="0" applyFont="1"/>
    <xf numFmtId="168" fontId="0" fillId="0" borderId="3" xfId="0" applyNumberFormat="1" applyBorder="1"/>
    <xf numFmtId="0" fontId="13" fillId="0" borderId="7" xfId="0" applyFont="1" applyBorder="1"/>
    <xf numFmtId="0" fontId="0" fillId="0" borderId="0" xfId="0"/>
    <xf numFmtId="0" fontId="12" fillId="0" borderId="0" xfId="0" applyFont="1"/>
    <xf numFmtId="0" fontId="13" fillId="0" borderId="0" xfId="0" applyFont="1"/>
    <xf numFmtId="0" fontId="12" fillId="0" borderId="3" xfId="0" applyFont="1" applyBorder="1"/>
    <xf numFmtId="0" fontId="0" fillId="0" borderId="0" xfId="0"/>
    <xf numFmtId="0" fontId="11" fillId="2" borderId="0" xfId="0" applyFont="1" applyFill="1"/>
    <xf numFmtId="0" fontId="12" fillId="0" borderId="0" xfId="0" applyFont="1"/>
    <xf numFmtId="168" fontId="0" fillId="0" borderId="0" xfId="0" applyNumberFormat="1"/>
    <xf numFmtId="0" fontId="17" fillId="2" borderId="0" xfId="0" applyFont="1" applyFill="1"/>
    <xf numFmtId="168" fontId="8" fillId="3" borderId="0" xfId="0" applyNumberFormat="1" applyFont="1" applyFill="1"/>
    <xf numFmtId="168" fontId="18" fillId="3" borderId="3" xfId="0" applyNumberFormat="1" applyFont="1" applyFill="1" applyBorder="1"/>
    <xf numFmtId="171" fontId="0" fillId="0" borderId="0" xfId="0" applyNumberFormat="1" applyAlignment="1">
      <alignment horizontal="center"/>
    </xf>
    <xf numFmtId="169" fontId="0" fillId="0" borderId="0" xfId="0" applyNumberFormat="1" applyAlignment="1">
      <alignment horizontal="center"/>
    </xf>
    <xf numFmtId="172" fontId="0" fillId="0" borderId="0" xfId="0" applyNumberFormat="1" applyAlignment="1">
      <alignment horizontal="center"/>
    </xf>
    <xf numFmtId="0" fontId="0" fillId="0" borderId="0" xfId="0"/>
    <xf numFmtId="0" fontId="16" fillId="0" borderId="0" xfId="0" applyFont="1"/>
    <xf numFmtId="168" fontId="0" fillId="0" borderId="0" xfId="0" applyNumberFormat="1"/>
    <xf numFmtId="168" fontId="12" fillId="0" borderId="3" xfId="0" applyNumberFormat="1" applyFont="1" applyBorder="1"/>
    <xf numFmtId="10" fontId="0" fillId="0" borderId="0" xfId="1" applyNumberFormat="1" applyFont="1"/>
    <xf numFmtId="0" fontId="12" fillId="0" borderId="7" xfId="0" applyFont="1" applyBorder="1"/>
    <xf numFmtId="0" fontId="0" fillId="0" borderId="7" xfId="0" applyBorder="1"/>
    <xf numFmtId="164" fontId="0" fillId="0" borderId="0" xfId="0" applyNumberFormat="1"/>
    <xf numFmtId="0" fontId="0" fillId="0" borderId="0" xfId="0" applyFill="1"/>
    <xf numFmtId="0" fontId="11" fillId="0" borderId="0" xfId="0" applyFont="1" applyFill="1"/>
    <xf numFmtId="0" fontId="2" fillId="0" borderId="0" xfId="0" applyFont="1" applyFill="1"/>
    <xf numFmtId="0" fontId="0" fillId="4" borderId="0" xfId="0" applyFill="1"/>
    <xf numFmtId="0" fontId="0" fillId="0" borderId="1" xfId="0" applyBorder="1"/>
    <xf numFmtId="9" fontId="16" fillId="0" borderId="1" xfId="0" applyNumberFormat="1" applyFont="1" applyBorder="1"/>
    <xf numFmtId="10" fontId="0" fillId="4" borderId="0" xfId="1" applyNumberFormat="1" applyFont="1" applyFill="1" applyAlignment="1">
      <alignment horizontal="center"/>
    </xf>
    <xf numFmtId="0" fontId="16" fillId="0" borderId="7" xfId="0" applyFont="1" applyBorder="1"/>
    <xf numFmtId="168" fontId="8" fillId="0" borderId="0" xfId="0" applyNumberFormat="1" applyFont="1"/>
    <xf numFmtId="0" fontId="0" fillId="0" borderId="3" xfId="0" applyBorder="1"/>
    <xf numFmtId="0" fontId="0" fillId="0" borderId="10" xfId="0" applyBorder="1"/>
    <xf numFmtId="0" fontId="0" fillId="0" borderId="0" xfId="0" applyBorder="1"/>
    <xf numFmtId="0" fontId="0" fillId="0" borderId="12" xfId="0" applyBorder="1"/>
    <xf numFmtId="0" fontId="0" fillId="0" borderId="8" xfId="0" applyBorder="1"/>
    <xf numFmtId="10" fontId="0" fillId="0" borderId="3" xfId="1" applyNumberFormat="1" applyFont="1" applyBorder="1"/>
    <xf numFmtId="10" fontId="0" fillId="0" borderId="0" xfId="1" applyNumberFormat="1" applyFont="1" applyBorder="1"/>
    <xf numFmtId="10" fontId="0" fillId="0" borderId="7" xfId="1" applyNumberFormat="1" applyFont="1" applyBorder="1"/>
    <xf numFmtId="173" fontId="0" fillId="0" borderId="3" xfId="0" applyNumberFormat="1" applyBorder="1"/>
    <xf numFmtId="171" fontId="0" fillId="0" borderId="0" xfId="1" applyNumberFormat="1" applyFont="1" applyBorder="1"/>
    <xf numFmtId="171" fontId="0" fillId="0" borderId="7" xfId="1" applyNumberFormat="1" applyFont="1" applyBorder="1"/>
    <xf numFmtId="174" fontId="0" fillId="0" borderId="7" xfId="0" applyNumberFormat="1" applyBorder="1"/>
    <xf numFmtId="174" fontId="0" fillId="0" borderId="13" xfId="0" applyNumberFormat="1" applyBorder="1"/>
    <xf numFmtId="175" fontId="0" fillId="0" borderId="3" xfId="0" applyNumberFormat="1" applyBorder="1"/>
    <xf numFmtId="175" fontId="0" fillId="0" borderId="9" xfId="0" applyNumberFormat="1" applyBorder="1"/>
    <xf numFmtId="175" fontId="0" fillId="0" borderId="0" xfId="0" applyNumberFormat="1" applyBorder="1"/>
    <xf numFmtId="175" fontId="0" fillId="0" borderId="11" xfId="0" applyNumberFormat="1" applyBorder="1"/>
    <xf numFmtId="10" fontId="0" fillId="0" borderId="13" xfId="1" applyNumberFormat="1" applyFont="1" applyBorder="1"/>
    <xf numFmtId="175" fontId="0" fillId="0" borderId="7" xfId="0" applyNumberFormat="1" applyBorder="1"/>
    <xf numFmtId="174" fontId="0" fillId="0" borderId="0" xfId="0" applyNumberFormat="1" applyBorder="1"/>
    <xf numFmtId="174" fontId="0" fillId="0" borderId="11" xfId="0" applyNumberFormat="1" applyBorder="1"/>
    <xf numFmtId="175" fontId="0" fillId="0" borderId="13" xfId="0" applyNumberFormat="1" applyBorder="1"/>
    <xf numFmtId="10" fontId="0" fillId="0" borderId="9" xfId="1" applyNumberFormat="1" applyFont="1" applyBorder="1"/>
    <xf numFmtId="10" fontId="0" fillId="0" borderId="11" xfId="1" applyNumberFormat="1" applyFont="1" applyBorder="1"/>
    <xf numFmtId="173" fontId="0" fillId="0" borderId="9" xfId="0" applyNumberFormat="1" applyBorder="1"/>
    <xf numFmtId="171" fontId="0" fillId="0" borderId="11" xfId="1" applyNumberFormat="1" applyFont="1" applyBorder="1"/>
    <xf numFmtId="0" fontId="21" fillId="5" borderId="0" xfId="0" applyFont="1" applyFill="1" applyAlignment="1">
      <alignment horizontal="left" vertical="center" indent="1"/>
    </xf>
    <xf numFmtId="0" fontId="21" fillId="5" borderId="0" xfId="0" applyFont="1" applyFill="1" applyAlignment="1">
      <alignment horizontal="left" vertical="center"/>
    </xf>
    <xf numFmtId="0" fontId="21" fillId="5" borderId="0" xfId="0" applyFont="1" applyFill="1" applyAlignment="1">
      <alignment horizontal="right" vertical="center" wrapText="1"/>
    </xf>
    <xf numFmtId="0" fontId="23" fillId="0" borderId="0" xfId="0" applyFont="1" applyFill="1" applyAlignment="1">
      <alignment horizontal="left" vertical="center" indent="1"/>
    </xf>
    <xf numFmtId="0" fontId="23" fillId="0" borderId="0" xfId="0" applyFont="1" applyFill="1" applyAlignment="1">
      <alignment horizontal="right" vertical="center" wrapText="1"/>
    </xf>
    <xf numFmtId="0" fontId="24" fillId="0" borderId="0" xfId="0" applyFont="1" applyFill="1" applyAlignment="1">
      <alignment horizontal="left" vertical="center" indent="1"/>
    </xf>
    <xf numFmtId="0" fontId="24" fillId="0" borderId="0" xfId="0" applyFont="1" applyFill="1" applyAlignment="1">
      <alignment horizontal="right" vertical="center" wrapText="1"/>
    </xf>
    <xf numFmtId="0" fontId="23" fillId="0" borderId="3" xfId="0" applyFont="1" applyFill="1" applyBorder="1" applyAlignment="1">
      <alignment horizontal="left" vertical="center" indent="1"/>
    </xf>
    <xf numFmtId="0" fontId="0" fillId="0" borderId="3" xfId="0" applyFill="1" applyBorder="1"/>
    <xf numFmtId="0" fontId="23" fillId="0" borderId="3" xfId="0" applyFont="1" applyFill="1" applyBorder="1" applyAlignment="1">
      <alignment horizontal="right" vertical="center" wrapText="1"/>
    </xf>
    <xf numFmtId="0" fontId="25" fillId="0" borderId="0" xfId="4" applyFill="1" applyAlignment="1">
      <alignment horizontal="left" vertical="center"/>
    </xf>
    <xf numFmtId="0" fontId="0" fillId="0" borderId="0" xfId="0"/>
    <xf numFmtId="0" fontId="0" fillId="2" borderId="0" xfId="0" applyFill="1"/>
    <xf numFmtId="0" fontId="2" fillId="2" borderId="0" xfId="0" applyFont="1" applyFill="1"/>
    <xf numFmtId="0" fontId="11" fillId="2" borderId="0" xfId="0" applyFont="1" applyFill="1"/>
    <xf numFmtId="0" fontId="14" fillId="2" borderId="0" xfId="0" applyFont="1" applyFill="1"/>
    <xf numFmtId="168" fontId="0" fillId="0" borderId="0" xfId="0" applyNumberFormat="1" applyAlignment="1">
      <alignment horizontal="center"/>
    </xf>
    <xf numFmtId="0" fontId="17" fillId="2" borderId="0" xfId="0" applyFont="1" applyFill="1"/>
    <xf numFmtId="0" fontId="0" fillId="0" borderId="0" xfId="0" applyFill="1"/>
    <xf numFmtId="0" fontId="2" fillId="2" borderId="16" xfId="0" applyFont="1" applyFill="1" applyBorder="1"/>
    <xf numFmtId="0" fontId="2" fillId="2" borderId="0" xfId="0" applyFont="1" applyFill="1" applyAlignment="1">
      <alignment horizontal="center"/>
    </xf>
    <xf numFmtId="0" fontId="17" fillId="2" borderId="0" xfId="0" applyFont="1" applyFill="1" applyAlignment="1">
      <alignment horizontal="center"/>
    </xf>
    <xf numFmtId="175" fontId="0" fillId="0" borderId="0" xfId="0" applyNumberFormat="1"/>
    <xf numFmtId="168" fontId="0" fillId="0" borderId="8" xfId="0" applyNumberFormat="1" applyBorder="1" applyAlignment="1">
      <alignment horizontal="center"/>
    </xf>
    <xf numFmtId="168" fontId="0" fillId="0" borderId="3" xfId="0" applyNumberFormat="1" applyBorder="1" applyAlignment="1">
      <alignment horizontal="center"/>
    </xf>
    <xf numFmtId="168" fontId="0" fillId="0" borderId="9" xfId="0" applyNumberFormat="1" applyBorder="1" applyAlignment="1">
      <alignment horizontal="center"/>
    </xf>
    <xf numFmtId="168" fontId="0" fillId="0" borderId="10" xfId="0" applyNumberFormat="1" applyBorder="1" applyAlignment="1">
      <alignment horizontal="center"/>
    </xf>
    <xf numFmtId="168" fontId="0" fillId="0" borderId="0" xfId="0" applyNumberFormat="1" applyBorder="1" applyAlignment="1">
      <alignment horizontal="center"/>
    </xf>
    <xf numFmtId="168" fontId="0" fillId="0" borderId="11" xfId="0" applyNumberFormat="1" applyBorder="1" applyAlignment="1">
      <alignment horizontal="center"/>
    </xf>
    <xf numFmtId="168" fontId="0" fillId="0" borderId="12" xfId="0" applyNumberFormat="1" applyBorder="1" applyAlignment="1">
      <alignment horizontal="center"/>
    </xf>
    <xf numFmtId="168" fontId="0" fillId="0" borderId="7" xfId="0" applyNumberFormat="1" applyBorder="1" applyAlignment="1">
      <alignment horizontal="center"/>
    </xf>
    <xf numFmtId="168" fontId="0" fillId="0" borderId="13" xfId="0" applyNumberFormat="1" applyBorder="1" applyAlignment="1">
      <alignment horizontal="center"/>
    </xf>
    <xf numFmtId="175" fontId="0" fillId="0" borderId="8" xfId="0" applyNumberFormat="1" applyBorder="1" applyAlignment="1">
      <alignment horizontal="center"/>
    </xf>
    <xf numFmtId="175" fontId="0" fillId="0" borderId="3" xfId="0" applyNumberFormat="1" applyBorder="1" applyAlignment="1">
      <alignment horizontal="center"/>
    </xf>
    <xf numFmtId="175" fontId="0" fillId="0" borderId="9" xfId="0" applyNumberFormat="1" applyBorder="1" applyAlignment="1">
      <alignment horizontal="center"/>
    </xf>
    <xf numFmtId="175" fontId="0" fillId="0" borderId="10" xfId="0" applyNumberFormat="1" applyBorder="1" applyAlignment="1">
      <alignment horizontal="center"/>
    </xf>
    <xf numFmtId="175" fontId="0" fillId="0" borderId="0" xfId="0" applyNumberFormat="1" applyBorder="1" applyAlignment="1">
      <alignment horizontal="center"/>
    </xf>
    <xf numFmtId="175" fontId="0" fillId="0" borderId="11" xfId="0" applyNumberFormat="1" applyBorder="1" applyAlignment="1">
      <alignment horizontal="center"/>
    </xf>
    <xf numFmtId="175" fontId="0" fillId="0" borderId="12" xfId="0" applyNumberFormat="1" applyBorder="1" applyAlignment="1">
      <alignment horizontal="center"/>
    </xf>
    <xf numFmtId="175" fontId="0" fillId="0" borderId="7" xfId="0" applyNumberFormat="1" applyBorder="1" applyAlignment="1">
      <alignment horizontal="center"/>
    </xf>
    <xf numFmtId="175" fontId="0" fillId="0" borderId="13" xfId="0" applyNumberFormat="1" applyBorder="1" applyAlignment="1">
      <alignment horizontal="center"/>
    </xf>
    <xf numFmtId="0" fontId="0" fillId="7" borderId="0" xfId="0" applyFill="1"/>
    <xf numFmtId="168" fontId="0" fillId="7" borderId="0" xfId="0" applyNumberFormat="1" applyFill="1" applyBorder="1" applyAlignment="1">
      <alignment horizontal="center"/>
    </xf>
    <xf numFmtId="175" fontId="0" fillId="7" borderId="0" xfId="0" applyNumberFormat="1" applyFill="1" applyBorder="1" applyAlignment="1">
      <alignment horizontal="center"/>
    </xf>
    <xf numFmtId="0" fontId="12" fillId="7" borderId="0" xfId="0" applyFont="1" applyFill="1"/>
    <xf numFmtId="175" fontId="0" fillId="7" borderId="0" xfId="0" applyNumberFormat="1" applyFill="1" applyAlignment="1">
      <alignment horizontal="center"/>
    </xf>
    <xf numFmtId="0" fontId="0" fillId="0" borderId="0" xfId="0"/>
    <xf numFmtId="0" fontId="2" fillId="2" borderId="0" xfId="0" applyFont="1" applyFill="1"/>
    <xf numFmtId="0" fontId="11" fillId="2" borderId="0" xfId="0" applyFont="1" applyFill="1"/>
    <xf numFmtId="0" fontId="14" fillId="2" borderId="0" xfId="0" applyFont="1" applyFill="1"/>
    <xf numFmtId="0" fontId="0" fillId="0" borderId="0" xfId="0" applyBorder="1"/>
    <xf numFmtId="0" fontId="27" fillId="6" borderId="0" xfId="0" applyNumberFormat="1" applyFont="1" applyFill="1" applyBorder="1" applyAlignment="1" applyProtection="1">
      <alignment horizontal="left" vertical="center" wrapText="1"/>
    </xf>
    <xf numFmtId="0" fontId="27" fillId="6" borderId="0" xfId="0" applyNumberFormat="1" applyFont="1" applyFill="1" applyBorder="1" applyAlignment="1" applyProtection="1">
      <alignment horizontal="center" vertical="center" wrapText="1"/>
    </xf>
    <xf numFmtId="0" fontId="11" fillId="2" borderId="0" xfId="0" applyFont="1" applyFill="1" applyAlignment="1">
      <alignment horizontal="center"/>
    </xf>
    <xf numFmtId="0" fontId="0" fillId="0" borderId="18" xfId="0" applyBorder="1"/>
    <xf numFmtId="10" fontId="0" fillId="0" borderId="22" xfId="1" applyNumberFormat="1" applyFont="1" applyBorder="1"/>
    <xf numFmtId="0" fontId="12" fillId="0" borderId="17" xfId="0" applyFont="1" applyBorder="1"/>
    <xf numFmtId="0" fontId="12" fillId="0" borderId="19" xfId="0" applyFont="1" applyBorder="1"/>
    <xf numFmtId="0" fontId="12" fillId="0" borderId="21" xfId="0" applyFont="1" applyBorder="1"/>
    <xf numFmtId="0" fontId="0" fillId="0" borderId="27" xfId="0" applyBorder="1"/>
    <xf numFmtId="0" fontId="0" fillId="0" borderId="15" xfId="0" applyBorder="1"/>
    <xf numFmtId="14" fontId="26" fillId="0" borderId="0" xfId="0" applyNumberFormat="1" applyFont="1" applyFill="1" applyBorder="1" applyAlignment="1" applyProtection="1">
      <alignment vertical="center"/>
    </xf>
    <xf numFmtId="4" fontId="26" fillId="0" borderId="0" xfId="0" applyNumberFormat="1" applyFont="1" applyFill="1" applyBorder="1" applyAlignment="1" applyProtection="1">
      <alignment vertical="center"/>
    </xf>
    <xf numFmtId="1" fontId="0" fillId="0" borderId="20" xfId="0" applyNumberFormat="1" applyBorder="1"/>
    <xf numFmtId="0" fontId="18" fillId="0" borderId="0" xfId="0" applyFont="1" applyFill="1" applyAlignment="1">
      <alignment horizontal="center"/>
    </xf>
    <xf numFmtId="0" fontId="18" fillId="0" borderId="7" xfId="0" applyFont="1" applyFill="1" applyBorder="1" applyAlignment="1">
      <alignment horizontal="center"/>
    </xf>
    <xf numFmtId="0" fontId="2" fillId="2" borderId="0" xfId="0" applyFont="1" applyFill="1"/>
    <xf numFmtId="0" fontId="11" fillId="2" borderId="0" xfId="0" applyFont="1" applyFill="1"/>
    <xf numFmtId="0" fontId="2" fillId="0" borderId="0" xfId="0" applyFont="1" applyFill="1"/>
    <xf numFmtId="0" fontId="0" fillId="0" borderId="0" xfId="0"/>
    <xf numFmtId="0" fontId="2" fillId="2" borderId="0" xfId="0" applyFont="1" applyFill="1"/>
    <xf numFmtId="0" fontId="11" fillId="2" borderId="0" xfId="0" applyFont="1" applyFill="1"/>
    <xf numFmtId="0" fontId="14" fillId="2" borderId="0" xfId="0" applyFont="1" applyFill="1"/>
    <xf numFmtId="0" fontId="12" fillId="0" borderId="3" xfId="0" applyFont="1" applyBorder="1"/>
    <xf numFmtId="168" fontId="0" fillId="0" borderId="0" xfId="0" applyNumberFormat="1"/>
    <xf numFmtId="10" fontId="0" fillId="0" borderId="0" xfId="1" applyNumberFormat="1" applyFont="1"/>
    <xf numFmtId="0" fontId="12" fillId="4" borderId="0" xfId="0" applyFont="1" applyFill="1"/>
    <xf numFmtId="0" fontId="0" fillId="0" borderId="0" xfId="0" applyFill="1"/>
    <xf numFmtId="0" fontId="11" fillId="0" borderId="0" xfId="0" applyFont="1" applyFill="1"/>
    <xf numFmtId="10" fontId="0" fillId="0" borderId="0" xfId="0" applyNumberFormat="1"/>
    <xf numFmtId="2" fontId="0" fillId="0" borderId="0" xfId="0" applyNumberFormat="1"/>
    <xf numFmtId="0" fontId="18" fillId="0" borderId="0" xfId="0" applyFont="1" applyFill="1"/>
    <xf numFmtId="0" fontId="18" fillId="0" borderId="7" xfId="0" applyFont="1" applyFill="1" applyBorder="1"/>
    <xf numFmtId="10" fontId="16" fillId="0" borderId="0" xfId="0" applyNumberFormat="1" applyFont="1"/>
    <xf numFmtId="10" fontId="15" fillId="0" borderId="0" xfId="0" applyNumberFormat="1" applyFont="1"/>
    <xf numFmtId="0" fontId="16" fillId="0" borderId="0" xfId="0" applyFont="1" applyAlignment="1">
      <alignment horizontal="center"/>
    </xf>
    <xf numFmtId="2" fontId="0" fillId="0" borderId="0" xfId="0" applyNumberFormat="1" applyAlignment="1">
      <alignment horizontal="center"/>
    </xf>
    <xf numFmtId="0" fontId="0" fillId="4" borderId="0" xfId="0" applyFill="1"/>
    <xf numFmtId="168" fontId="15" fillId="0" borderId="0" xfId="0" applyNumberFormat="1" applyFont="1" applyBorder="1" applyAlignment="1">
      <alignment horizontal="center"/>
    </xf>
    <xf numFmtId="10" fontId="0" fillId="0" borderId="0" xfId="1" applyNumberFormat="1" applyFont="1" applyAlignment="1">
      <alignment horizontal="center"/>
    </xf>
    <xf numFmtId="10" fontId="29" fillId="0" borderId="0" xfId="0" applyNumberFormat="1" applyFont="1" applyFill="1" applyBorder="1" applyAlignment="1" applyProtection="1"/>
    <xf numFmtId="10" fontId="29" fillId="0" borderId="3" xfId="0" applyNumberFormat="1" applyFont="1" applyFill="1" applyBorder="1" applyAlignment="1" applyProtection="1"/>
    <xf numFmtId="10" fontId="15" fillId="0" borderId="0" xfId="0" applyNumberFormat="1" applyFont="1" applyAlignment="1">
      <alignment horizontal="center"/>
    </xf>
    <xf numFmtId="0" fontId="0" fillId="8" borderId="0" xfId="0" applyFill="1"/>
    <xf numFmtId="10" fontId="0" fillId="8" borderId="0" xfId="0" applyNumberFormat="1" applyFill="1" applyAlignment="1">
      <alignment horizontal="center"/>
    </xf>
    <xf numFmtId="2" fontId="0" fillId="8" borderId="0" xfId="0" applyNumberFormat="1" applyFill="1" applyAlignment="1">
      <alignment horizontal="center"/>
    </xf>
    <xf numFmtId="10" fontId="12" fillId="0" borderId="3" xfId="1" applyNumberFormat="1" applyFont="1" applyBorder="1"/>
    <xf numFmtId="10" fontId="12" fillId="0" borderId="3" xfId="0" applyNumberFormat="1" applyFont="1" applyBorder="1"/>
    <xf numFmtId="0" fontId="12" fillId="0" borderId="29" xfId="0" applyFont="1" applyBorder="1"/>
    <xf numFmtId="10" fontId="12" fillId="0" borderId="30" xfId="0" applyNumberFormat="1" applyFont="1" applyBorder="1"/>
    <xf numFmtId="0" fontId="12" fillId="0" borderId="30" xfId="0" applyFont="1" applyBorder="1"/>
    <xf numFmtId="17" fontId="26" fillId="0" borderId="0" xfId="0" applyNumberFormat="1" applyFont="1" applyFill="1" applyBorder="1" applyAlignment="1" applyProtection="1">
      <alignment vertical="center"/>
    </xf>
    <xf numFmtId="0" fontId="2" fillId="0" borderId="0" xfId="0" applyFont="1" applyFill="1"/>
    <xf numFmtId="0" fontId="12" fillId="0" borderId="24" xfId="0" applyFont="1" applyBorder="1" applyAlignment="1">
      <alignment horizontal="center"/>
    </xf>
    <xf numFmtId="0" fontId="12" fillId="0" borderId="25" xfId="0" applyFont="1" applyBorder="1" applyAlignment="1">
      <alignment horizontal="center"/>
    </xf>
    <xf numFmtId="171" fontId="0" fillId="0" borderId="23" xfId="1" applyNumberFormat="1" applyFont="1" applyBorder="1" applyAlignment="1">
      <alignment horizontal="center"/>
    </xf>
    <xf numFmtId="14" fontId="26" fillId="0" borderId="24" xfId="0" applyNumberFormat="1" applyFont="1" applyFill="1" applyBorder="1" applyAlignment="1" applyProtection="1">
      <alignment horizontal="center" vertical="center"/>
    </xf>
    <xf numFmtId="14" fontId="26" fillId="0" borderId="23" xfId="0" applyNumberFormat="1" applyFont="1" applyFill="1" applyBorder="1" applyAlignment="1" applyProtection="1">
      <alignment horizontal="center" vertical="center"/>
    </xf>
    <xf numFmtId="0" fontId="12" fillId="0" borderId="26" xfId="0" applyFont="1" applyFill="1" applyBorder="1" applyAlignment="1">
      <alignment horizontal="center"/>
    </xf>
    <xf numFmtId="0" fontId="0" fillId="0" borderId="0" xfId="0" applyFill="1" applyBorder="1" applyAlignment="1"/>
    <xf numFmtId="0" fontId="0" fillId="0" borderId="15" xfId="0" applyFill="1" applyBorder="1" applyAlignment="1"/>
    <xf numFmtId="0" fontId="28" fillId="0" borderId="28" xfId="0" applyFont="1" applyFill="1" applyBorder="1" applyAlignment="1">
      <alignment horizontal="center"/>
    </xf>
    <xf numFmtId="0" fontId="28" fillId="0" borderId="28" xfId="0" applyFont="1" applyFill="1" applyBorder="1" applyAlignment="1">
      <alignment horizontal="centerContinuous"/>
    </xf>
    <xf numFmtId="0" fontId="0" fillId="0" borderId="24" xfId="0" applyBorder="1" applyAlignment="1">
      <alignment horizontal="center"/>
    </xf>
    <xf numFmtId="14" fontId="26" fillId="0" borderId="25" xfId="0" applyNumberFormat="1" applyFont="1" applyFill="1" applyBorder="1" applyAlignment="1" applyProtection="1">
      <alignment horizontal="center" vertical="center"/>
    </xf>
    <xf numFmtId="171" fontId="0" fillId="0" borderId="25" xfId="1" applyNumberFormat="1" applyFont="1" applyBorder="1" applyAlignment="1">
      <alignment horizontal="center"/>
    </xf>
    <xf numFmtId="164" fontId="26" fillId="0" borderId="0" xfId="0" applyNumberFormat="1" applyFont="1" applyFill="1" applyBorder="1" applyAlignment="1" applyProtection="1">
      <alignment horizontal="center" vertical="center"/>
    </xf>
    <xf numFmtId="164" fontId="26" fillId="0" borderId="21" xfId="0" applyNumberFormat="1" applyFont="1" applyFill="1" applyBorder="1" applyAlignment="1" applyProtection="1">
      <alignment horizontal="center" vertical="center"/>
    </xf>
    <xf numFmtId="164" fontId="26" fillId="0" borderId="15" xfId="0" applyNumberFormat="1" applyFont="1" applyFill="1" applyBorder="1" applyAlignment="1" applyProtection="1">
      <alignment horizontal="center" vertical="center"/>
    </xf>
    <xf numFmtId="14" fontId="16" fillId="0" borderId="3" xfId="0" applyNumberFormat="1" applyFont="1" applyBorder="1"/>
    <xf numFmtId="14" fontId="0" fillId="0" borderId="3" xfId="0" applyNumberFormat="1" applyBorder="1"/>
    <xf numFmtId="0" fontId="0" fillId="0" borderId="0" xfId="0"/>
    <xf numFmtId="0" fontId="12" fillId="0" borderId="7" xfId="0" applyFont="1" applyBorder="1"/>
    <xf numFmtId="10" fontId="15" fillId="0" borderId="0" xfId="0" applyNumberFormat="1" applyFont="1"/>
    <xf numFmtId="14" fontId="16" fillId="0" borderId="0" xfId="0" applyNumberFormat="1" applyFont="1"/>
    <xf numFmtId="10" fontId="16" fillId="0" borderId="0" xfId="1" applyNumberFormat="1" applyFont="1"/>
    <xf numFmtId="0" fontId="12" fillId="0" borderId="0" xfId="0" applyFont="1" applyAlignment="1">
      <alignment horizontal="center"/>
    </xf>
    <xf numFmtId="14" fontId="0" fillId="0" borderId="3" xfId="0" applyNumberFormat="1" applyBorder="1" applyAlignment="1">
      <alignment horizontal="center"/>
    </xf>
    <xf numFmtId="0" fontId="0" fillId="0" borderId="0" xfId="0"/>
    <xf numFmtId="0" fontId="0" fillId="2" borderId="0" xfId="0" applyFill="1"/>
    <xf numFmtId="0" fontId="14" fillId="2" borderId="0" xfId="0" applyFont="1" applyFill="1"/>
    <xf numFmtId="0" fontId="12" fillId="0" borderId="0" xfId="0" applyFont="1"/>
    <xf numFmtId="0" fontId="12" fillId="0" borderId="3" xfId="0" applyFont="1" applyBorder="1"/>
    <xf numFmtId="0" fontId="0" fillId="0" borderId="3" xfId="0" applyBorder="1"/>
    <xf numFmtId="168" fontId="0" fillId="0" borderId="0" xfId="0" applyNumberFormat="1" applyAlignment="1">
      <alignment horizontal="center"/>
    </xf>
    <xf numFmtId="0" fontId="12" fillId="0" borderId="7" xfId="0" applyFont="1" applyBorder="1"/>
    <xf numFmtId="0" fontId="0" fillId="0" borderId="7" xfId="0" applyBorder="1"/>
    <xf numFmtId="0" fontId="0" fillId="0" borderId="0" xfId="0" applyFill="1" applyBorder="1"/>
    <xf numFmtId="0" fontId="0" fillId="0" borderId="0" xfId="0" applyBorder="1"/>
    <xf numFmtId="2" fontId="0" fillId="0" borderId="0" xfId="0" applyNumberFormat="1"/>
    <xf numFmtId="10" fontId="0" fillId="6" borderId="0" xfId="0" applyNumberFormat="1" applyFill="1"/>
    <xf numFmtId="14" fontId="0" fillId="0" borderId="0" xfId="0" applyNumberFormat="1"/>
    <xf numFmtId="0" fontId="12" fillId="0" borderId="7" xfId="0" applyFont="1" applyBorder="1" applyAlignment="1">
      <alignment horizontal="center"/>
    </xf>
    <xf numFmtId="168" fontId="12" fillId="0" borderId="3" xfId="0" applyNumberFormat="1" applyFont="1" applyBorder="1" applyAlignment="1">
      <alignment horizontal="center"/>
    </xf>
    <xf numFmtId="164" fontId="12" fillId="0" borderId="0" xfId="0" applyNumberFormat="1" applyFont="1" applyAlignment="1">
      <alignment horizontal="center"/>
    </xf>
    <xf numFmtId="177" fontId="0" fillId="0" borderId="0" xfId="0" applyNumberFormat="1" applyAlignment="1">
      <alignment horizontal="center"/>
    </xf>
    <xf numFmtId="176" fontId="12" fillId="0" borderId="0" xfId="0" applyNumberFormat="1" applyFont="1" applyAlignment="1">
      <alignment horizontal="center"/>
    </xf>
    <xf numFmtId="176" fontId="13" fillId="0" borderId="0" xfId="0" applyNumberFormat="1" applyFont="1"/>
    <xf numFmtId="0" fontId="0" fillId="0" borderId="15" xfId="0" applyBorder="1"/>
    <xf numFmtId="0" fontId="12" fillId="0" borderId="15" xfId="0" applyFont="1" applyBorder="1"/>
    <xf numFmtId="10" fontId="16" fillId="6" borderId="0" xfId="1" applyNumberFormat="1" applyFont="1" applyFill="1" applyAlignment="1">
      <alignment horizontal="center"/>
    </xf>
    <xf numFmtId="10" fontId="0" fillId="6" borderId="0" xfId="0" applyNumberFormat="1" applyFill="1" applyAlignment="1">
      <alignment horizontal="center"/>
    </xf>
    <xf numFmtId="175" fontId="0" fillId="6" borderId="0" xfId="0" applyNumberFormat="1" applyFill="1" applyAlignment="1">
      <alignment horizontal="center"/>
    </xf>
    <xf numFmtId="176" fontId="0" fillId="9" borderId="0" xfId="0" applyNumberFormat="1" applyFill="1"/>
    <xf numFmtId="176" fontId="0" fillId="9" borderId="0" xfId="0" applyNumberFormat="1" applyFill="1" applyAlignment="1">
      <alignment horizontal="center"/>
    </xf>
    <xf numFmtId="0" fontId="31" fillId="2" borderId="0" xfId="0" applyFont="1" applyFill="1"/>
    <xf numFmtId="0" fontId="32" fillId="0" borderId="0" xfId="0" applyFont="1"/>
    <xf numFmtId="0" fontId="33" fillId="0" borderId="0" xfId="0" applyFont="1" applyFill="1" applyBorder="1"/>
    <xf numFmtId="178" fontId="34" fillId="0" borderId="0" xfId="0" applyNumberFormat="1" applyFont="1" applyFill="1" applyBorder="1" applyAlignment="1">
      <alignment horizontal="right"/>
    </xf>
    <xf numFmtId="0" fontId="33" fillId="0" borderId="0" xfId="0" applyFont="1" applyFill="1" applyBorder="1" applyAlignment="1">
      <alignment horizontal="right"/>
    </xf>
    <xf numFmtId="0" fontId="8" fillId="0" borderId="0" xfId="0" applyFont="1"/>
    <xf numFmtId="0" fontId="30" fillId="2" borderId="20" xfId="0" applyFont="1" applyFill="1" applyBorder="1" applyAlignment="1">
      <alignment horizontal="center"/>
    </xf>
    <xf numFmtId="0" fontId="8" fillId="2" borderId="23" xfId="0" applyFont="1" applyFill="1" applyBorder="1" applyAlignment="1">
      <alignment horizontal="center"/>
    </xf>
    <xf numFmtId="0" fontId="30" fillId="2" borderId="23" xfId="0" applyFont="1" applyFill="1" applyBorder="1" applyAlignment="1">
      <alignment horizontal="center"/>
    </xf>
    <xf numFmtId="0" fontId="11" fillId="2" borderId="23" xfId="0" applyFont="1" applyFill="1" applyBorder="1" applyAlignment="1">
      <alignment horizontal="center"/>
    </xf>
    <xf numFmtId="0" fontId="11" fillId="2" borderId="19" xfId="0" applyFont="1" applyFill="1" applyBorder="1" applyAlignment="1">
      <alignment horizontal="center"/>
    </xf>
    <xf numFmtId="10" fontId="37" fillId="2" borderId="23" xfId="0" applyNumberFormat="1" applyFont="1" applyFill="1" applyBorder="1" applyAlignment="1">
      <alignment horizontal="center"/>
    </xf>
    <xf numFmtId="0" fontId="0" fillId="0" borderId="23" xfId="0" applyBorder="1"/>
    <xf numFmtId="0" fontId="0" fillId="0" borderId="25" xfId="0" applyBorder="1"/>
    <xf numFmtId="0" fontId="0" fillId="0" borderId="24" xfId="0" applyBorder="1"/>
    <xf numFmtId="179" fontId="36" fillId="0" borderId="24" xfId="0" applyNumberFormat="1" applyFont="1" applyFill="1" applyBorder="1" applyAlignment="1">
      <alignment horizontal="center"/>
    </xf>
    <xf numFmtId="179" fontId="0" fillId="0" borderId="24" xfId="0" applyNumberFormat="1" applyBorder="1" applyAlignment="1">
      <alignment horizontal="center"/>
    </xf>
    <xf numFmtId="171" fontId="0" fillId="0" borderId="24" xfId="1" applyNumberFormat="1" applyFont="1" applyBorder="1" applyAlignment="1">
      <alignment horizontal="center"/>
    </xf>
    <xf numFmtId="179" fontId="36" fillId="0" borderId="23" xfId="0" applyNumberFormat="1" applyFont="1" applyFill="1" applyBorder="1" applyAlignment="1">
      <alignment horizontal="center"/>
    </xf>
    <xf numFmtId="179" fontId="35" fillId="0" borderId="23" xfId="0" applyNumberFormat="1" applyFont="1" applyFill="1" applyBorder="1" applyAlignment="1">
      <alignment horizontal="center"/>
    </xf>
    <xf numFmtId="179" fontId="0" fillId="0" borderId="23" xfId="0" applyNumberFormat="1" applyBorder="1" applyAlignment="1">
      <alignment horizontal="center"/>
    </xf>
    <xf numFmtId="0" fontId="0" fillId="0" borderId="23" xfId="0" applyBorder="1" applyAlignment="1">
      <alignment horizontal="center"/>
    </xf>
    <xf numFmtId="179" fontId="15" fillId="0" borderId="25" xfId="0" applyNumberFormat="1" applyFont="1" applyFill="1" applyBorder="1" applyAlignment="1">
      <alignment horizontal="center"/>
    </xf>
    <xf numFmtId="179" fontId="36" fillId="0" borderId="25" xfId="0" applyNumberFormat="1" applyFont="1" applyFill="1" applyBorder="1" applyAlignment="1">
      <alignment horizontal="center"/>
    </xf>
    <xf numFmtId="179" fontId="35" fillId="0" borderId="25" xfId="0" applyNumberFormat="1" applyFont="1" applyFill="1" applyBorder="1" applyAlignment="1">
      <alignment horizontal="center"/>
    </xf>
    <xf numFmtId="179" fontId="0" fillId="0" borderId="25" xfId="0" applyNumberFormat="1" applyBorder="1" applyAlignment="1">
      <alignment horizontal="center"/>
    </xf>
    <xf numFmtId="0" fontId="0" fillId="0" borderId="25" xfId="0" applyBorder="1" applyAlignment="1">
      <alignment horizontal="center"/>
    </xf>
    <xf numFmtId="0" fontId="10" fillId="2" borderId="0" xfId="0" applyFont="1" applyFill="1" applyAlignment="1">
      <alignment horizontal="center"/>
    </xf>
    <xf numFmtId="0" fontId="25" fillId="0" borderId="31" xfId="4" applyBorder="1"/>
    <xf numFmtId="0" fontId="0" fillId="0" borderId="31" xfId="0" applyBorder="1"/>
    <xf numFmtId="0" fontId="25" fillId="0" borderId="32" xfId="4" applyBorder="1"/>
    <xf numFmtId="0" fontId="0" fillId="0" borderId="32" xfId="0" applyBorder="1"/>
    <xf numFmtId="0" fontId="25" fillId="0" borderId="1" xfId="4" applyBorder="1"/>
    <xf numFmtId="0" fontId="40" fillId="0" borderId="0" xfId="2" applyFont="1"/>
    <xf numFmtId="0" fontId="6" fillId="0" borderId="0" xfId="2"/>
    <xf numFmtId="0" fontId="41" fillId="0" borderId="0" xfId="2" applyFont="1"/>
    <xf numFmtId="0" fontId="38" fillId="0" borderId="0" xfId="2" applyFont="1"/>
    <xf numFmtId="0" fontId="39" fillId="0" borderId="0" xfId="2" applyFont="1"/>
    <xf numFmtId="0" fontId="42" fillId="0" borderId="0" xfId="2" applyFont="1"/>
    <xf numFmtId="0" fontId="38" fillId="0" borderId="0" xfId="2" applyFont="1" applyAlignment="1">
      <alignment vertical="top" wrapText="1"/>
    </xf>
    <xf numFmtId="0" fontId="39" fillId="0" borderId="0" xfId="2" applyFont="1" applyAlignment="1">
      <alignment vertical="top" wrapText="1"/>
    </xf>
    <xf numFmtId="167" fontId="11" fillId="0" borderId="0" xfId="0" applyNumberFormat="1" applyFont="1" applyFill="1" applyAlignment="1">
      <alignment horizontal="center"/>
    </xf>
    <xf numFmtId="168" fontId="20" fillId="0" borderId="0" xfId="0" applyNumberFormat="1" applyFont="1"/>
    <xf numFmtId="168" fontId="18" fillId="0" borderId="4" xfId="0" applyNumberFormat="1" applyFont="1" applyBorder="1"/>
    <xf numFmtId="168" fontId="12" fillId="0" borderId="4" xfId="0" applyNumberFormat="1" applyFont="1" applyBorder="1"/>
    <xf numFmtId="168" fontId="19" fillId="0" borderId="0" xfId="0" applyNumberFormat="1" applyFont="1"/>
    <xf numFmtId="168" fontId="11" fillId="2" borderId="0" xfId="0" applyNumberFormat="1" applyFont="1" applyFill="1" applyAlignment="1">
      <alignment horizontal="center"/>
    </xf>
    <xf numFmtId="168" fontId="20" fillId="0" borderId="3" xfId="0" applyNumberFormat="1" applyFont="1" applyBorder="1"/>
    <xf numFmtId="168" fontId="20" fillId="0" borderId="5" xfId="0" applyNumberFormat="1" applyFont="1" applyBorder="1"/>
    <xf numFmtId="168" fontId="20" fillId="0" borderId="2" xfId="0" applyNumberFormat="1" applyFont="1" applyBorder="1"/>
    <xf numFmtId="168" fontId="16" fillId="0" borderId="0" xfId="0" applyNumberFormat="1" applyFont="1" applyBorder="1"/>
    <xf numFmtId="168" fontId="19" fillId="0" borderId="3" xfId="0" applyNumberFormat="1" applyFont="1" applyBorder="1"/>
    <xf numFmtId="168" fontId="20" fillId="0" borderId="6" xfId="0" applyNumberFormat="1" applyFont="1" applyBorder="1"/>
    <xf numFmtId="176" fontId="0" fillId="0" borderId="0" xfId="0" applyNumberFormat="1"/>
    <xf numFmtId="171" fontId="0" fillId="0" borderId="19" xfId="1" applyNumberFormat="1" applyFont="1" applyBorder="1" applyAlignment="1">
      <alignment horizontal="center"/>
    </xf>
    <xf numFmtId="171" fontId="0" fillId="0" borderId="21" xfId="1" applyNumberFormat="1" applyFont="1" applyBorder="1" applyAlignment="1">
      <alignment horizontal="center"/>
    </xf>
    <xf numFmtId="176" fontId="0" fillId="0" borderId="0" xfId="0" applyNumberFormat="1" applyAlignment="1">
      <alignment horizontal="center"/>
    </xf>
    <xf numFmtId="171" fontId="0" fillId="0" borderId="0" xfId="1" applyNumberFormat="1" applyFont="1" applyAlignment="1">
      <alignment horizontal="center"/>
    </xf>
    <xf numFmtId="10" fontId="1" fillId="10" borderId="0" xfId="1" applyNumberFormat="1" applyFont="1" applyFill="1"/>
    <xf numFmtId="175" fontId="0" fillId="10" borderId="0" xfId="0" applyNumberFormat="1" applyFont="1" applyFill="1" applyAlignment="1">
      <alignment horizontal="center"/>
    </xf>
    <xf numFmtId="0" fontId="43" fillId="0" borderId="0" xfId="2" applyFont="1"/>
    <xf numFmtId="2" fontId="12" fillId="0" borderId="14" xfId="1" applyNumberFormat="1" applyFont="1" applyBorder="1"/>
  </cellXfs>
  <cellStyles count="5">
    <cellStyle name="Hyperlink" xfId="4" builtinId="8"/>
    <cellStyle name="Normal" xfId="0" builtinId="0"/>
    <cellStyle name="Normal 2" xfId="2"/>
    <cellStyle name="Percent" xfId="1" builtinId="5"/>
    <cellStyle name="Percent 2" xfId="3"/>
  </cellStyles>
  <dxfs count="0"/>
  <tableStyles count="0" defaultTableStyle="TableStyleMedium2" defaultPivotStyle="PivotStyleLight16"/>
  <colors>
    <mruColors>
      <color rgb="FF3333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F18"/>
  <sheetViews>
    <sheetView showGridLines="0" tabSelected="1" workbookViewId="0">
      <selection activeCell="D18" sqref="D18"/>
    </sheetView>
  </sheetViews>
  <sheetFormatPr defaultRowHeight="14.5"/>
  <cols>
    <col min="1" max="1" width="1.81640625" customWidth="1"/>
    <col min="2" max="2" width="40.6328125" customWidth="1"/>
    <col min="3" max="3" width="79.1796875" customWidth="1"/>
  </cols>
  <sheetData>
    <row r="2" spans="2:3" ht="31">
      <c r="B2" s="3" t="s">
        <v>1</v>
      </c>
      <c r="C2" s="2"/>
    </row>
    <row r="3" spans="2:3" ht="17">
      <c r="B3" s="4" t="s">
        <v>2</v>
      </c>
    </row>
    <row r="4" spans="2:3">
      <c r="B4" s="5" t="s">
        <v>3</v>
      </c>
    </row>
    <row r="6" spans="2:3" ht="30" customHeight="1">
      <c r="B6" s="6" t="s">
        <v>4</v>
      </c>
      <c r="C6" s="318" t="s">
        <v>5</v>
      </c>
    </row>
    <row r="8" spans="2:3">
      <c r="B8" s="323" t="s">
        <v>427</v>
      </c>
      <c r="C8" s="105" t="s">
        <v>434</v>
      </c>
    </row>
    <row r="9" spans="2:3">
      <c r="B9" s="323" t="s">
        <v>384</v>
      </c>
      <c r="C9" s="105" t="s">
        <v>435</v>
      </c>
    </row>
    <row r="10" spans="2:3">
      <c r="B10" s="323" t="s">
        <v>428</v>
      </c>
      <c r="C10" s="105" t="s">
        <v>436</v>
      </c>
    </row>
    <row r="11" spans="2:3">
      <c r="B11" s="319" t="s">
        <v>429</v>
      </c>
      <c r="C11" s="320" t="s">
        <v>437</v>
      </c>
    </row>
    <row r="12" spans="2:3">
      <c r="B12" s="321"/>
      <c r="C12" s="322" t="s">
        <v>438</v>
      </c>
    </row>
    <row r="13" spans="2:3">
      <c r="B13" s="323" t="s">
        <v>430</v>
      </c>
      <c r="C13" s="105" t="s">
        <v>439</v>
      </c>
    </row>
    <row r="14" spans="2:3">
      <c r="B14" s="323" t="s">
        <v>240</v>
      </c>
      <c r="C14" s="105" t="s">
        <v>440</v>
      </c>
    </row>
    <row r="15" spans="2:3">
      <c r="B15" s="323" t="s">
        <v>431</v>
      </c>
      <c r="C15" s="105" t="s">
        <v>441</v>
      </c>
    </row>
    <row r="16" spans="2:3">
      <c r="B16" s="323" t="s">
        <v>432</v>
      </c>
      <c r="C16" s="105" t="s">
        <v>442</v>
      </c>
    </row>
    <row r="17" spans="2:6">
      <c r="B17" s="323" t="s">
        <v>433</v>
      </c>
      <c r="C17" s="105" t="s">
        <v>496</v>
      </c>
    </row>
    <row r="18" spans="2:6">
      <c r="F18" s="105"/>
    </row>
  </sheetData>
  <hyperlinks>
    <hyperlink ref="B8" location="Summary!A1" display="Summary"/>
    <hyperlink ref="B9" location="'Assumptions '!A1" display="Assumptions"/>
    <hyperlink ref="B10" location="'Data Sheet'!A1" display="Data Sheet"/>
    <hyperlink ref="B11" location="Model!A1" display="Model"/>
    <hyperlink ref="B13" location="'Comps Data'!A1" display="Comps Data"/>
    <hyperlink ref="B14" location="'Ratio Analysis'!A1" display="Ratio Analysis"/>
    <hyperlink ref="B15" location="'Market Return'!A1" display="Market Return"/>
    <hyperlink ref="B17" location="'Beta from Regression'!A1" display="Beta from Regression"/>
    <hyperlink ref="B16" location="'Beta &amp; WACC '!A1" display="Beta &amp; WACC"/>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L13"/>
  <sheetViews>
    <sheetView showGridLines="0" zoomScale="85" zoomScaleNormal="85" workbookViewId="0">
      <selection activeCell="I7" sqref="I7"/>
    </sheetView>
  </sheetViews>
  <sheetFormatPr defaultColWidth="15.6328125" defaultRowHeight="14.5"/>
  <cols>
    <col min="1" max="1" width="1.81640625" customWidth="1"/>
    <col min="2" max="2" width="40.6328125" customWidth="1"/>
    <col min="3" max="3" width="17.6328125" customWidth="1"/>
    <col min="4" max="4" width="24" customWidth="1"/>
    <col min="6" max="6" width="17.36328125" customWidth="1"/>
    <col min="7" max="7" width="17.54296875" customWidth="1"/>
    <col min="8" max="8" width="17.90625" customWidth="1"/>
    <col min="9" max="9" width="17.26953125" customWidth="1"/>
  </cols>
  <sheetData>
    <row r="2" spans="1:12" ht="26">
      <c r="B2" s="291" t="s">
        <v>480</v>
      </c>
      <c r="C2" s="207"/>
      <c r="D2" s="207"/>
      <c r="E2" s="207"/>
      <c r="F2" s="207"/>
    </row>
    <row r="3" spans="1:12">
      <c r="B3" s="292" t="s">
        <v>413</v>
      </c>
    </row>
    <row r="5" spans="1:12" s="296" customFormat="1">
      <c r="A5"/>
      <c r="B5" s="297"/>
      <c r="C5" s="298"/>
      <c r="D5" s="299" t="s">
        <v>416</v>
      </c>
      <c r="E5" s="298"/>
      <c r="F5" s="300"/>
      <c r="G5" s="300"/>
      <c r="H5" s="301"/>
      <c r="I5" s="301"/>
      <c r="J5" s="238"/>
      <c r="K5" s="238"/>
      <c r="L5" s="238"/>
    </row>
    <row r="6" spans="1:12" ht="15" thickBot="1">
      <c r="B6" s="297" t="s">
        <v>414</v>
      </c>
      <c r="C6" s="299" t="s">
        <v>401</v>
      </c>
      <c r="D6" s="299" t="s">
        <v>417</v>
      </c>
      <c r="E6" s="299" t="s">
        <v>418</v>
      </c>
      <c r="F6" s="302" t="s">
        <v>415</v>
      </c>
      <c r="G6" s="300" t="s">
        <v>419</v>
      </c>
      <c r="H6" s="301" t="s">
        <v>420</v>
      </c>
      <c r="I6" s="301" t="s">
        <v>421</v>
      </c>
      <c r="J6" s="238"/>
      <c r="K6" s="238"/>
      <c r="L6" s="238"/>
    </row>
    <row r="7" spans="1:12">
      <c r="B7" s="305" t="s">
        <v>422</v>
      </c>
      <c r="C7" s="306">
        <f>Model!H181</f>
        <v>69879.088322479423</v>
      </c>
      <c r="D7" s="306">
        <f>Model!H183</f>
        <v>73217.208322479419</v>
      </c>
      <c r="E7" s="306">
        <f>Model!H185</f>
        <v>3039.3195650676389</v>
      </c>
      <c r="F7" s="306">
        <f>'Comps Data'!D4</f>
        <v>4937.5</v>
      </c>
      <c r="G7" s="307">
        <f>E7-F7</f>
        <v>-1898.1804349323611</v>
      </c>
      <c r="H7" s="308">
        <f>G7/F7</f>
        <v>-0.3844416070749086</v>
      </c>
      <c r="I7" s="249" t="str">
        <f>IF(H7&gt;0,"Undervalued","Overvalued")</f>
        <v>Overvalued</v>
      </c>
    </row>
    <row r="8" spans="1:12">
      <c r="B8" s="303" t="s">
        <v>423</v>
      </c>
      <c r="C8" s="309">
        <f>Model!I181</f>
        <v>100686.64529705662</v>
      </c>
      <c r="D8" s="309">
        <f>Model!I183</f>
        <v>104024.76529705661</v>
      </c>
      <c r="E8" s="309">
        <f>Model!I185</f>
        <v>4318.1720754278376</v>
      </c>
      <c r="F8" s="310">
        <f>F7</f>
        <v>4937.5</v>
      </c>
      <c r="G8" s="311">
        <f>E8-F8</f>
        <v>-619.32792457216237</v>
      </c>
      <c r="H8" s="345">
        <f>G8/F8</f>
        <v>-0.12543350371081768</v>
      </c>
      <c r="I8" s="312" t="str">
        <f>IF(H8&gt;0,"Undervalued","Overvalued")</f>
        <v>Overvalued</v>
      </c>
    </row>
    <row r="9" spans="1:12">
      <c r="B9" s="303" t="s">
        <v>424</v>
      </c>
      <c r="C9" s="309">
        <f>Model!D150</f>
        <v>103008.38121608681</v>
      </c>
      <c r="D9" s="309">
        <f>Model!F150</f>
        <v>101980.54121608681</v>
      </c>
      <c r="E9" s="309">
        <f>Model!H150</f>
        <v>4233.3142887541226</v>
      </c>
      <c r="F9" s="310">
        <f>F8</f>
        <v>4937.5</v>
      </c>
      <c r="G9" s="311">
        <f>E9-F9</f>
        <v>-704.18571124587743</v>
      </c>
      <c r="H9" s="345">
        <f>G9/F9</f>
        <v>-0.14261989088524099</v>
      </c>
      <c r="I9" s="312" t="str">
        <f>IF(H9&gt;0,"Undervalued","Overvalued")</f>
        <v>Overvalued</v>
      </c>
    </row>
    <row r="10" spans="1:12">
      <c r="B10" s="303" t="s">
        <v>425</v>
      </c>
      <c r="C10" s="309">
        <f>Model!D149</f>
        <v>65464.71252729297</v>
      </c>
      <c r="D10" s="309">
        <f>Model!F149</f>
        <v>64436.872527292973</v>
      </c>
      <c r="E10" s="309">
        <f>Model!H149</f>
        <v>2674.8390422288489</v>
      </c>
      <c r="F10" s="310">
        <f>F9</f>
        <v>4937.5</v>
      </c>
      <c r="G10" s="311">
        <f>E10-F10</f>
        <v>-2262.6609577711511</v>
      </c>
      <c r="H10" s="345">
        <f>G10/F10</f>
        <v>-0.45826044714352426</v>
      </c>
      <c r="I10" s="312" t="str">
        <f>IF(H10&gt;0,"Undervalued","Overvalued")</f>
        <v>Overvalued</v>
      </c>
    </row>
    <row r="11" spans="1:12" ht="15" thickBot="1">
      <c r="B11" s="304" t="s">
        <v>426</v>
      </c>
      <c r="C11" s="313">
        <f>Model!D151</f>
        <v>136698.29906182407</v>
      </c>
      <c r="D11" s="314">
        <f>Model!F151</f>
        <v>135670.45906182408</v>
      </c>
      <c r="E11" s="314">
        <f>Model!H151</f>
        <v>5631.8164824335445</v>
      </c>
      <c r="F11" s="315">
        <f>F10</f>
        <v>4937.5</v>
      </c>
      <c r="G11" s="316">
        <f>E11-F11</f>
        <v>694.31648243354448</v>
      </c>
      <c r="H11" s="346">
        <f>G11/F11</f>
        <v>0.1406210597333761</v>
      </c>
      <c r="I11" s="317" t="str">
        <f>IF(H11&gt;0,"Undervalued","Overvalued")</f>
        <v>Undervalued</v>
      </c>
    </row>
    <row r="12" spans="1:12">
      <c r="B12" s="273"/>
      <c r="C12" s="273"/>
      <c r="D12" s="273"/>
      <c r="E12" s="293"/>
      <c r="F12" s="294"/>
    </row>
    <row r="13" spans="1:12">
      <c r="B13" s="273"/>
      <c r="C13" s="273"/>
      <c r="D13" s="273"/>
      <c r="E13" s="293"/>
      <c r="F13" s="295"/>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0"/>
  <sheetViews>
    <sheetView showGridLines="0" workbookViewId="0"/>
  </sheetViews>
  <sheetFormatPr defaultRowHeight="14.5"/>
  <cols>
    <col min="1" max="1" width="3" style="325" customWidth="1"/>
    <col min="2" max="2" width="8.7265625" style="325"/>
    <col min="3" max="3" width="38" style="325" customWidth="1"/>
    <col min="4" max="4" width="130.36328125" style="325" bestFit="1" customWidth="1"/>
    <col min="5" max="16384" width="8.7265625" style="325"/>
  </cols>
  <sheetData>
    <row r="1" spans="1:4" ht="18">
      <c r="A1" s="324" t="s">
        <v>477</v>
      </c>
    </row>
    <row r="3" spans="1:4" ht="15.5">
      <c r="A3" s="326" t="s">
        <v>478</v>
      </c>
    </row>
    <row r="5" spans="1:4">
      <c r="C5" s="327" t="s">
        <v>443</v>
      </c>
    </row>
    <row r="6" spans="1:4">
      <c r="C6" s="328" t="s">
        <v>444</v>
      </c>
      <c r="D6" s="329" t="s">
        <v>445</v>
      </c>
    </row>
    <row r="7" spans="1:4">
      <c r="C7" s="328" t="s">
        <v>446</v>
      </c>
      <c r="D7" s="328" t="s">
        <v>447</v>
      </c>
    </row>
    <row r="10" spans="1:4">
      <c r="C10" s="330" t="s">
        <v>448</v>
      </c>
    </row>
    <row r="11" spans="1:4" ht="60" customHeight="1">
      <c r="C11" s="330" t="s">
        <v>449</v>
      </c>
      <c r="D11" s="331" t="s">
        <v>450</v>
      </c>
    </row>
    <row r="12" spans="1:4" ht="45" customHeight="1">
      <c r="C12" s="330" t="s">
        <v>451</v>
      </c>
      <c r="D12" s="331" t="s">
        <v>452</v>
      </c>
    </row>
    <row r="13" spans="1:4" ht="30" customHeight="1">
      <c r="C13" s="330" t="s">
        <v>453</v>
      </c>
      <c r="D13" s="331" t="s">
        <v>454</v>
      </c>
    </row>
    <row r="14" spans="1:4" ht="45" customHeight="1">
      <c r="C14" s="330" t="s">
        <v>455</v>
      </c>
      <c r="D14" s="331" t="s">
        <v>456</v>
      </c>
    </row>
    <row r="15" spans="1:4" ht="30" customHeight="1">
      <c r="C15" s="330" t="s">
        <v>457</v>
      </c>
      <c r="D15" s="331" t="s">
        <v>458</v>
      </c>
    </row>
    <row r="16" spans="1:4" ht="30" customHeight="1">
      <c r="C16" s="330" t="s">
        <v>459</v>
      </c>
      <c r="D16" s="331" t="s">
        <v>460</v>
      </c>
    </row>
    <row r="17" spans="3:4" ht="30" customHeight="1">
      <c r="C17" s="330" t="s">
        <v>117</v>
      </c>
      <c r="D17" s="331" t="s">
        <v>461</v>
      </c>
    </row>
    <row r="18" spans="3:4" ht="60" customHeight="1">
      <c r="C18" s="330" t="s">
        <v>462</v>
      </c>
      <c r="D18" s="331" t="s">
        <v>463</v>
      </c>
    </row>
    <row r="19" spans="3:4" ht="30" customHeight="1">
      <c r="C19" s="330" t="s">
        <v>464</v>
      </c>
      <c r="D19" s="331" t="s">
        <v>465</v>
      </c>
    </row>
    <row r="20" spans="3:4" ht="45" customHeight="1">
      <c r="C20" s="330" t="s">
        <v>466</v>
      </c>
      <c r="D20" s="331" t="s">
        <v>467</v>
      </c>
    </row>
    <row r="21" spans="3:4" ht="75" customHeight="1">
      <c r="C21" s="330" t="s">
        <v>353</v>
      </c>
      <c r="D21" s="331" t="s">
        <v>497</v>
      </c>
    </row>
    <row r="22" spans="3:4" ht="45" customHeight="1">
      <c r="C22" s="330" t="s">
        <v>468</v>
      </c>
      <c r="D22" s="331" t="s">
        <v>492</v>
      </c>
    </row>
    <row r="23" spans="3:4" ht="45" customHeight="1">
      <c r="C23" s="330" t="s">
        <v>469</v>
      </c>
      <c r="D23" s="331" t="s">
        <v>493</v>
      </c>
    </row>
    <row r="24" spans="3:4" ht="45" customHeight="1">
      <c r="C24" s="330" t="s">
        <v>470</v>
      </c>
      <c r="D24" s="331" t="s">
        <v>471</v>
      </c>
    </row>
    <row r="25" spans="3:4" ht="75" customHeight="1">
      <c r="C25" s="330" t="s">
        <v>472</v>
      </c>
      <c r="D25" s="331" t="s">
        <v>498</v>
      </c>
    </row>
    <row r="26" spans="3:4" ht="25">
      <c r="C26" s="351" t="s">
        <v>494</v>
      </c>
      <c r="D26" s="331" t="s">
        <v>495</v>
      </c>
    </row>
    <row r="27" spans="3:4">
      <c r="C27" s="330" t="s">
        <v>473</v>
      </c>
    </row>
    <row r="28" spans="3:4" ht="30" customHeight="1">
      <c r="C28" s="330" t="s">
        <v>350</v>
      </c>
      <c r="D28" s="331" t="s">
        <v>474</v>
      </c>
    </row>
    <row r="29" spans="3:4" ht="30" customHeight="1">
      <c r="C29" s="330" t="s">
        <v>317</v>
      </c>
      <c r="D29" s="331" t="s">
        <v>475</v>
      </c>
    </row>
    <row r="30" spans="3:4" ht="30" customHeight="1">
      <c r="C30" s="330" t="s">
        <v>351</v>
      </c>
      <c r="D30" s="331" t="s">
        <v>476</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N162"/>
  <sheetViews>
    <sheetView showGridLines="0" topLeftCell="A138" workbookViewId="0">
      <selection activeCell="E141" sqref="E141"/>
    </sheetView>
  </sheetViews>
  <sheetFormatPr defaultColWidth="12.6328125" defaultRowHeight="14.5"/>
  <cols>
    <col min="1" max="1" width="1.81640625" customWidth="1"/>
    <col min="2" max="2" width="40.6328125" customWidth="1"/>
  </cols>
  <sheetData>
    <row r="2" spans="1:9" ht="31">
      <c r="B2" s="3" t="s">
        <v>0</v>
      </c>
      <c r="C2" s="7"/>
      <c r="D2" s="7"/>
      <c r="E2" s="7"/>
      <c r="F2" s="7"/>
      <c r="G2" s="7"/>
    </row>
    <row r="3" spans="1:9">
      <c r="B3" s="16" t="s">
        <v>82</v>
      </c>
    </row>
    <row r="4" spans="1:9">
      <c r="A4" t="s">
        <v>7</v>
      </c>
      <c r="B4" s="8" t="s">
        <v>6</v>
      </c>
      <c r="C4" s="17">
        <v>2022</v>
      </c>
      <c r="D4" s="17">
        <f>C4+1</f>
        <v>2023</v>
      </c>
      <c r="E4" s="17">
        <f>D4+1</f>
        <v>2024</v>
      </c>
      <c r="F4" s="17">
        <f>E4+1</f>
        <v>2025</v>
      </c>
      <c r="G4" s="17">
        <f>F4+1</f>
        <v>2026</v>
      </c>
    </row>
    <row r="6" spans="1:9">
      <c r="B6" s="10" t="s">
        <v>52</v>
      </c>
    </row>
    <row r="7" spans="1:9">
      <c r="B7" t="s">
        <v>53</v>
      </c>
      <c r="C7" s="42">
        <v>13944.67</v>
      </c>
      <c r="D7" s="42">
        <v>15984.9</v>
      </c>
      <c r="E7" s="42">
        <v>16546.21</v>
      </c>
      <c r="F7" s="42">
        <v>17535.02</v>
      </c>
      <c r="G7" s="42">
        <v>18858.21</v>
      </c>
    </row>
    <row r="8" spans="1:9">
      <c r="B8" t="s">
        <v>54</v>
      </c>
      <c r="C8" s="42">
        <v>191.59</v>
      </c>
      <c r="D8" s="42">
        <v>315.64999999999998</v>
      </c>
      <c r="E8" s="42">
        <v>223.06</v>
      </c>
      <c r="F8" s="42">
        <v>407.65</v>
      </c>
      <c r="G8" s="42">
        <v>293.38</v>
      </c>
    </row>
    <row r="9" spans="1:9">
      <c r="B9" s="10" t="s">
        <v>76</v>
      </c>
      <c r="C9" s="333">
        <f>SUM(C7:C8)</f>
        <v>14136.26</v>
      </c>
      <c r="D9" s="333">
        <f>SUM(D7:D8)</f>
        <v>16300.55</v>
      </c>
      <c r="E9" s="333">
        <f>SUM(E7:E8)</f>
        <v>16769.27</v>
      </c>
      <c r="F9" s="333">
        <f>SUM(F7:F8)</f>
        <v>17942.670000000002</v>
      </c>
      <c r="G9" s="333">
        <f>SUM(G7:G8)</f>
        <v>19151.59</v>
      </c>
    </row>
    <row r="10" spans="1:9">
      <c r="B10" t="s">
        <v>55</v>
      </c>
      <c r="C10" s="42">
        <v>222.83</v>
      </c>
      <c r="D10" s="42">
        <v>215.86</v>
      </c>
      <c r="E10" s="42">
        <v>214.18</v>
      </c>
      <c r="F10" s="42">
        <v>227.09</v>
      </c>
      <c r="G10" s="42">
        <v>224.03</v>
      </c>
    </row>
    <row r="11" spans="1:9">
      <c r="B11" s="15" t="s">
        <v>56</v>
      </c>
      <c r="C11" s="334">
        <f>SUM(C9:C10)</f>
        <v>14359.09</v>
      </c>
      <c r="D11" s="334">
        <f>SUM(D9:D10)</f>
        <v>16516.41</v>
      </c>
      <c r="E11" s="334">
        <f>SUM(E9:E10)</f>
        <v>16983.45</v>
      </c>
      <c r="F11" s="334">
        <f>SUM(F9:F10)</f>
        <v>18169.760000000002</v>
      </c>
      <c r="G11" s="334">
        <f>SUM(G9:G10)</f>
        <v>19375.62</v>
      </c>
    </row>
    <row r="12" spans="1:9">
      <c r="B12" s="10" t="s">
        <v>57</v>
      </c>
      <c r="C12" s="210"/>
      <c r="D12" s="210"/>
      <c r="E12" s="210"/>
      <c r="F12" s="210"/>
      <c r="G12" s="210"/>
    </row>
    <row r="13" spans="1:9">
      <c r="B13" t="s">
        <v>58</v>
      </c>
      <c r="C13" s="42">
        <v>7473.97</v>
      </c>
      <c r="D13" s="42">
        <v>8326.7000000000007</v>
      </c>
      <c r="E13" s="42">
        <v>8546.89</v>
      </c>
      <c r="F13" s="42">
        <v>9859.4500000000007</v>
      </c>
      <c r="G13" s="42">
        <v>10350.02</v>
      </c>
      <c r="I13" s="9"/>
    </row>
    <row r="14" spans="1:9">
      <c r="B14" t="s">
        <v>59</v>
      </c>
      <c r="C14" s="42">
        <v>1361.59</v>
      </c>
      <c r="D14" s="42">
        <v>1337.13</v>
      </c>
      <c r="E14" s="42">
        <v>941.48</v>
      </c>
      <c r="F14" s="42">
        <v>809.35</v>
      </c>
      <c r="G14" s="42">
        <v>805.23</v>
      </c>
    </row>
    <row r="15" spans="1:9">
      <c r="B15" t="s">
        <v>60</v>
      </c>
      <c r="C15" s="42">
        <v>-75.260000000000005</v>
      </c>
      <c r="D15" s="42">
        <v>-72.53</v>
      </c>
      <c r="E15" s="42">
        <v>3.66</v>
      </c>
      <c r="F15" s="42">
        <v>-64.75</v>
      </c>
      <c r="G15" s="42">
        <v>-22.37</v>
      </c>
    </row>
    <row r="16" spans="1:9">
      <c r="B16" t="s">
        <v>61</v>
      </c>
      <c r="C16" s="42">
        <v>542.26</v>
      </c>
      <c r="D16" s="42">
        <v>658.38</v>
      </c>
      <c r="E16" s="42">
        <v>708.7</v>
      </c>
      <c r="F16" s="42">
        <v>704.59</v>
      </c>
      <c r="G16" s="42">
        <v>823.8</v>
      </c>
    </row>
    <row r="17" spans="2:7">
      <c r="B17" t="s">
        <v>62</v>
      </c>
      <c r="C17" s="42">
        <v>144.29</v>
      </c>
      <c r="D17" s="42">
        <v>169.1</v>
      </c>
      <c r="E17" s="42">
        <v>164</v>
      </c>
      <c r="F17" s="42">
        <v>138.80000000000001</v>
      </c>
      <c r="G17" s="42">
        <v>112.76</v>
      </c>
    </row>
    <row r="18" spans="2:7">
      <c r="B18" t="s">
        <v>63</v>
      </c>
      <c r="C18" s="42">
        <v>200.54</v>
      </c>
      <c r="D18" s="42">
        <v>225.91</v>
      </c>
      <c r="E18" s="42">
        <v>300.45999999999998</v>
      </c>
      <c r="F18" s="42">
        <v>313.33999999999997</v>
      </c>
      <c r="G18" s="42">
        <v>336.83</v>
      </c>
    </row>
    <row r="19" spans="2:7">
      <c r="B19" t="s">
        <v>64</v>
      </c>
      <c r="C19" s="42">
        <v>2632.19</v>
      </c>
      <c r="D19" s="42">
        <v>3219.96</v>
      </c>
      <c r="E19" s="42">
        <v>3398.7</v>
      </c>
      <c r="F19" s="42">
        <v>3446.88</v>
      </c>
      <c r="G19" s="42">
        <v>3650.48</v>
      </c>
    </row>
    <row r="20" spans="2:7">
      <c r="B20" s="14" t="s">
        <v>65</v>
      </c>
      <c r="C20" s="335">
        <f>SUM(C13:C19)</f>
        <v>12279.580000000002</v>
      </c>
      <c r="D20" s="335">
        <f>SUM(D13:D19)</f>
        <v>13864.650000000001</v>
      </c>
      <c r="E20" s="335">
        <f>SUM(E13:E19)</f>
        <v>14063.89</v>
      </c>
      <c r="F20" s="335">
        <f>SUM(F13:F19)</f>
        <v>15207.66</v>
      </c>
      <c r="G20" s="335">
        <f>SUM(G13:G19)</f>
        <v>16056.749999999998</v>
      </c>
    </row>
    <row r="21" spans="2:7">
      <c r="B21" t="s">
        <v>66</v>
      </c>
      <c r="C21" s="210">
        <f>C11-C20</f>
        <v>2079.5099999999984</v>
      </c>
      <c r="D21" s="77">
        <v>2651.76</v>
      </c>
      <c r="E21" s="77">
        <v>2919.56</v>
      </c>
      <c r="F21" s="77">
        <v>2962.1</v>
      </c>
      <c r="G21" s="77">
        <v>3318.87</v>
      </c>
    </row>
    <row r="22" spans="2:7">
      <c r="B22" t="s">
        <v>67</v>
      </c>
      <c r="C22" s="42">
        <v>-0.2</v>
      </c>
      <c r="D22" s="42">
        <v>5.41</v>
      </c>
      <c r="E22" s="42">
        <v>-3.19</v>
      </c>
      <c r="F22" s="42">
        <v>-10.74</v>
      </c>
      <c r="G22" s="42">
        <v>-30.09</v>
      </c>
    </row>
    <row r="23" spans="2:7">
      <c r="B23" t="s">
        <v>68</v>
      </c>
      <c r="C23" s="42">
        <v>2079.31</v>
      </c>
      <c r="D23" s="42">
        <v>2657.17</v>
      </c>
      <c r="E23" s="42">
        <v>2916.37</v>
      </c>
      <c r="F23" s="42">
        <v>2951.36</v>
      </c>
      <c r="G23" s="42">
        <v>3288.78</v>
      </c>
    </row>
    <row r="24" spans="2:7">
      <c r="B24" t="s">
        <v>69</v>
      </c>
      <c r="C24" s="42">
        <v>0.98</v>
      </c>
      <c r="D24" s="42">
        <v>-375.6</v>
      </c>
      <c r="E24" s="42">
        <v>2.9</v>
      </c>
      <c r="F24" s="42">
        <v>24.79</v>
      </c>
      <c r="G24" s="42"/>
    </row>
    <row r="25" spans="2:7">
      <c r="B25" s="10" t="s">
        <v>70</v>
      </c>
      <c r="C25" s="336">
        <v>2078.33</v>
      </c>
      <c r="D25" s="42">
        <v>3032.77</v>
      </c>
      <c r="E25" s="42">
        <v>2913.47</v>
      </c>
      <c r="F25" s="42">
        <v>2926.57</v>
      </c>
      <c r="G25" s="42">
        <v>3288.78</v>
      </c>
    </row>
    <row r="26" spans="2:7">
      <c r="B26" s="10" t="s">
        <v>71</v>
      </c>
      <c r="C26" s="42"/>
      <c r="D26" s="42"/>
      <c r="E26" s="42"/>
      <c r="F26" s="42"/>
      <c r="G26" s="42"/>
    </row>
    <row r="27" spans="2:7">
      <c r="B27" t="s">
        <v>72</v>
      </c>
      <c r="C27" s="42">
        <v>612.24</v>
      </c>
      <c r="D27" s="42">
        <v>720.97</v>
      </c>
      <c r="E27" s="42">
        <v>765.69</v>
      </c>
      <c r="F27" s="42">
        <v>741.68</v>
      </c>
      <c r="G27" s="42">
        <v>758.37</v>
      </c>
    </row>
    <row r="28" spans="2:7">
      <c r="B28" t="s">
        <v>73</v>
      </c>
      <c r="C28" s="42">
        <v>-49.89</v>
      </c>
      <c r="D28" s="42">
        <v>-4.5199999999999996</v>
      </c>
      <c r="E28" s="42">
        <v>13.56</v>
      </c>
      <c r="F28" s="42">
        <v>7.03</v>
      </c>
      <c r="G28" s="42">
        <v>-6.6</v>
      </c>
    </row>
    <row r="29" spans="2:7">
      <c r="B29" s="10" t="s">
        <v>77</v>
      </c>
      <c r="C29" s="336">
        <v>562.35</v>
      </c>
      <c r="D29" s="42">
        <v>716.45</v>
      </c>
      <c r="E29" s="42">
        <v>779.25</v>
      </c>
      <c r="F29" s="42">
        <v>748.71</v>
      </c>
      <c r="G29" s="42">
        <v>751.77</v>
      </c>
    </row>
    <row r="30" spans="2:7">
      <c r="B30" s="14" t="s">
        <v>74</v>
      </c>
      <c r="C30" s="335">
        <f>C25-C29</f>
        <v>1515.98</v>
      </c>
      <c r="D30" s="335">
        <f>D25-D29</f>
        <v>2316.3199999999997</v>
      </c>
      <c r="E30" s="335">
        <f>E25-E29</f>
        <v>2134.2199999999998</v>
      </c>
      <c r="F30" s="335">
        <f>F25-F29</f>
        <v>2177.86</v>
      </c>
      <c r="G30" s="335">
        <f>G25-G29</f>
        <v>2537.0100000000002</v>
      </c>
    </row>
    <row r="31" spans="2:7">
      <c r="C31" s="210"/>
      <c r="D31" s="210"/>
      <c r="E31" s="210"/>
      <c r="F31" s="210"/>
      <c r="G31" s="210"/>
    </row>
    <row r="32" spans="2:7">
      <c r="B32" t="s">
        <v>78</v>
      </c>
      <c r="C32" s="42">
        <v>24.086829600000002</v>
      </c>
      <c r="D32" s="42">
        <v>24.086829600000002</v>
      </c>
      <c r="E32" s="42">
        <v>24.086829600000002</v>
      </c>
      <c r="F32" s="42">
        <v>24.086829600000002</v>
      </c>
      <c r="G32" s="42">
        <v>24.086829600000002</v>
      </c>
    </row>
    <row r="33" spans="1:8">
      <c r="B33" t="s">
        <v>79</v>
      </c>
      <c r="C33" s="42">
        <v>24.086829600000002</v>
      </c>
      <c r="D33" s="42">
        <v>24.086829600000002</v>
      </c>
      <c r="E33" s="42">
        <v>24.086829600000002</v>
      </c>
      <c r="F33" s="42">
        <v>24.086829600000002</v>
      </c>
      <c r="G33" s="42">
        <v>24.086829600000002</v>
      </c>
    </row>
    <row r="34" spans="1:8">
      <c r="C34" s="42"/>
      <c r="D34" s="42"/>
      <c r="E34" s="42"/>
      <c r="F34" s="42"/>
      <c r="G34" s="42"/>
    </row>
    <row r="35" spans="1:8">
      <c r="B35" t="s">
        <v>80</v>
      </c>
      <c r="C35" s="42">
        <v>63.31</v>
      </c>
      <c r="D35" s="42">
        <v>96.39</v>
      </c>
      <c r="E35" s="42">
        <v>88.84</v>
      </c>
      <c r="F35" s="42">
        <v>90.45</v>
      </c>
      <c r="G35" s="42">
        <v>105.18</v>
      </c>
    </row>
    <row r="36" spans="1:8">
      <c r="B36" t="s">
        <v>81</v>
      </c>
      <c r="C36" s="42">
        <v>63.31</v>
      </c>
      <c r="D36" s="42">
        <v>96.39</v>
      </c>
      <c r="E36" s="42">
        <v>88.84</v>
      </c>
      <c r="F36" s="42">
        <v>90.45</v>
      </c>
      <c r="G36" s="42">
        <v>105.18</v>
      </c>
    </row>
    <row r="37" spans="1:8">
      <c r="C37" s="210"/>
      <c r="D37" s="210"/>
      <c r="E37" s="210"/>
      <c r="F37" s="210"/>
      <c r="G37" s="210"/>
    </row>
    <row r="38" spans="1:8">
      <c r="C38" s="210"/>
      <c r="D38" s="210"/>
      <c r="E38" s="210"/>
      <c r="F38" s="210"/>
      <c r="G38" s="210"/>
    </row>
    <row r="39" spans="1:8">
      <c r="A39" t="s">
        <v>7</v>
      </c>
      <c r="B39" s="8" t="s">
        <v>83</v>
      </c>
      <c r="C39" s="337">
        <v>2022</v>
      </c>
      <c r="D39" s="337">
        <f>C39+1</f>
        <v>2023</v>
      </c>
      <c r="E39" s="337">
        <f>D39+1</f>
        <v>2024</v>
      </c>
      <c r="F39" s="337">
        <f>E39+1</f>
        <v>2025</v>
      </c>
      <c r="G39" s="337">
        <f>F39+1</f>
        <v>2026</v>
      </c>
    </row>
    <row r="40" spans="1:8">
      <c r="C40" s="210"/>
      <c r="D40" s="210"/>
      <c r="E40" s="210"/>
      <c r="F40" s="210"/>
      <c r="G40" s="210"/>
    </row>
    <row r="41" spans="1:8">
      <c r="B41" s="10" t="s">
        <v>84</v>
      </c>
      <c r="C41" s="210"/>
      <c r="D41" s="210"/>
      <c r="E41" s="210"/>
      <c r="F41" s="210"/>
      <c r="G41" s="210"/>
    </row>
    <row r="42" spans="1:8">
      <c r="B42" s="10" t="s">
        <v>85</v>
      </c>
      <c r="C42" s="210"/>
      <c r="D42" s="210"/>
      <c r="E42" s="210"/>
      <c r="F42" s="210"/>
      <c r="G42" s="210"/>
    </row>
    <row r="43" spans="1:8">
      <c r="B43" t="s">
        <v>8</v>
      </c>
      <c r="C43" s="42">
        <v>1584.05</v>
      </c>
      <c r="D43" s="42">
        <v>2472.19</v>
      </c>
      <c r="E43" s="42">
        <v>2602.94</v>
      </c>
      <c r="F43" s="42">
        <v>2734.61</v>
      </c>
      <c r="G43" s="42">
        <v>2672.98</v>
      </c>
    </row>
    <row r="44" spans="1:8">
      <c r="B44" t="s">
        <v>9</v>
      </c>
      <c r="C44" s="42">
        <v>535.67999999999995</v>
      </c>
      <c r="D44" s="42">
        <v>105</v>
      </c>
      <c r="E44" s="42">
        <v>187.54</v>
      </c>
      <c r="F44" s="42">
        <v>89.2</v>
      </c>
      <c r="G44" s="42">
        <v>39.04</v>
      </c>
    </row>
    <row r="45" spans="1:8">
      <c r="B45" t="s">
        <v>10</v>
      </c>
      <c r="C45" s="42">
        <v>13.95</v>
      </c>
      <c r="D45" s="42">
        <v>40.630000000000003</v>
      </c>
      <c r="E45" s="42">
        <v>27.48</v>
      </c>
      <c r="F45" s="42">
        <v>28.9</v>
      </c>
      <c r="G45" s="42">
        <v>27.9</v>
      </c>
    </row>
    <row r="46" spans="1:8">
      <c r="B46" t="s">
        <v>11</v>
      </c>
      <c r="C46" s="42">
        <v>139.61000000000001</v>
      </c>
      <c r="D46" s="42">
        <v>128.16</v>
      </c>
      <c r="E46" s="42">
        <v>129.82</v>
      </c>
      <c r="F46" s="42">
        <v>132.78</v>
      </c>
      <c r="G46" s="42">
        <v>143.94999999999999</v>
      </c>
    </row>
    <row r="47" spans="1:8">
      <c r="B47" t="s">
        <v>12</v>
      </c>
      <c r="C47" s="42">
        <v>15.6</v>
      </c>
      <c r="D47" s="42">
        <v>14.24</v>
      </c>
      <c r="E47" s="42">
        <v>10.9</v>
      </c>
      <c r="F47" s="42">
        <v>7.51</v>
      </c>
      <c r="G47" s="42">
        <v>5.09</v>
      </c>
    </row>
    <row r="48" spans="1:8">
      <c r="B48" t="s">
        <v>86</v>
      </c>
      <c r="C48" s="42">
        <v>2.09</v>
      </c>
      <c r="D48" s="42">
        <v>495.16</v>
      </c>
      <c r="E48" s="42">
        <v>494.36</v>
      </c>
      <c r="F48" s="42">
        <v>483.62</v>
      </c>
      <c r="G48" s="42">
        <v>453.53</v>
      </c>
      <c r="H48" s="46"/>
    </row>
    <row r="49" spans="2:9">
      <c r="B49" t="s">
        <v>13</v>
      </c>
      <c r="C49" s="42"/>
      <c r="D49" s="42"/>
      <c r="E49" s="42"/>
      <c r="F49" s="42"/>
      <c r="G49" s="42"/>
      <c r="H49" s="46"/>
    </row>
    <row r="50" spans="2:9">
      <c r="B50" t="s">
        <v>14</v>
      </c>
      <c r="C50" s="42">
        <v>926.55</v>
      </c>
      <c r="D50" s="42">
        <v>1028.0899999999999</v>
      </c>
      <c r="E50" s="42">
        <v>575.85</v>
      </c>
      <c r="F50" s="42">
        <v>1270.17</v>
      </c>
      <c r="G50" s="42">
        <v>1517.71</v>
      </c>
      <c r="H50" s="46"/>
    </row>
    <row r="51" spans="2:9">
      <c r="B51" t="s">
        <v>15</v>
      </c>
      <c r="C51" s="42">
        <v>100</v>
      </c>
      <c r="D51" s="42">
        <v>150</v>
      </c>
      <c r="E51" s="42" t="s">
        <v>75</v>
      </c>
      <c r="F51" s="42">
        <v>25</v>
      </c>
      <c r="G51" s="42">
        <v>25</v>
      </c>
      <c r="H51" s="46"/>
    </row>
    <row r="52" spans="2:9">
      <c r="B52" t="s">
        <v>16</v>
      </c>
      <c r="C52" s="42">
        <v>31.8</v>
      </c>
      <c r="D52" s="42">
        <v>23.57</v>
      </c>
      <c r="E52" s="42">
        <v>25.5</v>
      </c>
      <c r="F52" s="42">
        <v>28.19</v>
      </c>
      <c r="G52" s="42">
        <v>30.99</v>
      </c>
      <c r="H52" s="46"/>
    </row>
    <row r="53" spans="2:9">
      <c r="B53" t="s">
        <v>17</v>
      </c>
      <c r="C53" s="42">
        <v>51.67</v>
      </c>
      <c r="D53" s="42">
        <v>57.25</v>
      </c>
      <c r="E53" s="42">
        <v>43.88</v>
      </c>
      <c r="F53" s="42">
        <v>36.590000000000003</v>
      </c>
      <c r="G53" s="42">
        <v>43.01</v>
      </c>
      <c r="H53" s="46"/>
    </row>
    <row r="54" spans="2:9">
      <c r="B54" t="s">
        <v>18</v>
      </c>
      <c r="C54" s="42">
        <v>44.93</v>
      </c>
      <c r="D54" s="42">
        <v>43.64</v>
      </c>
      <c r="E54" s="42">
        <v>67.95</v>
      </c>
      <c r="F54" s="42">
        <v>46.26</v>
      </c>
      <c r="G54" s="42">
        <v>69.31</v>
      </c>
      <c r="H54" s="46"/>
    </row>
    <row r="55" spans="2:9">
      <c r="B55" t="s">
        <v>19</v>
      </c>
      <c r="C55" s="42">
        <v>99.18</v>
      </c>
      <c r="D55" s="42">
        <v>48.56</v>
      </c>
      <c r="E55" s="42">
        <v>58.68</v>
      </c>
      <c r="F55" s="42">
        <v>42.04</v>
      </c>
      <c r="G55" s="42">
        <v>25.77</v>
      </c>
      <c r="H55" s="46"/>
    </row>
    <row r="56" spans="2:9">
      <c r="B56" s="13" t="s">
        <v>20</v>
      </c>
      <c r="C56" s="338">
        <f>SUM(C43:C55)</f>
        <v>3545.1099999999997</v>
      </c>
      <c r="D56" s="338">
        <f>SUM(D43:D55)</f>
        <v>4606.49</v>
      </c>
      <c r="E56" s="338">
        <f>SUM(E43:E55)</f>
        <v>4224.9000000000005</v>
      </c>
      <c r="F56" s="338">
        <f>SUM(F43:F55)</f>
        <v>4924.8700000000008</v>
      </c>
      <c r="G56" s="338">
        <f>SUM(G43:G55)</f>
        <v>5054.2800000000007</v>
      </c>
    </row>
    <row r="57" spans="2:9">
      <c r="B57" s="10" t="s">
        <v>87</v>
      </c>
      <c r="C57" s="42"/>
      <c r="D57" s="42"/>
      <c r="E57" s="42"/>
      <c r="F57" s="42"/>
      <c r="G57" s="42"/>
      <c r="I57" s="66"/>
    </row>
    <row r="58" spans="2:9">
      <c r="B58" t="s">
        <v>21</v>
      </c>
      <c r="C58" s="42">
        <v>1367.49</v>
      </c>
      <c r="D58" s="42">
        <v>1193.26</v>
      </c>
      <c r="E58" s="42">
        <v>1181.22</v>
      </c>
      <c r="F58" s="42">
        <v>1236.51</v>
      </c>
      <c r="G58" s="42">
        <v>1345.93</v>
      </c>
    </row>
    <row r="59" spans="2:9">
      <c r="B59" t="s">
        <v>22</v>
      </c>
      <c r="C59" s="42"/>
      <c r="D59" s="42"/>
      <c r="E59" s="42"/>
      <c r="F59" s="42"/>
      <c r="G59" s="42"/>
    </row>
    <row r="60" spans="2:9">
      <c r="B60" t="s">
        <v>14</v>
      </c>
      <c r="C60" s="42">
        <v>833.73</v>
      </c>
      <c r="D60" s="42">
        <v>1800.99</v>
      </c>
      <c r="E60" s="42">
        <v>1696.51</v>
      </c>
      <c r="F60" s="42">
        <v>1111.6400000000001</v>
      </c>
      <c r="G60" s="42">
        <v>1638.52</v>
      </c>
      <c r="H60" s="46"/>
    </row>
    <row r="61" spans="2:9">
      <c r="B61" t="s">
        <v>23</v>
      </c>
      <c r="C61" s="42">
        <v>331.93</v>
      </c>
      <c r="D61" s="42">
        <v>328.94</v>
      </c>
      <c r="E61" s="42">
        <v>393.33</v>
      </c>
      <c r="F61" s="42">
        <v>448.61</v>
      </c>
      <c r="G61" s="42">
        <v>469.21</v>
      </c>
    </row>
    <row r="62" spans="2:9">
      <c r="B62" t="s">
        <v>24</v>
      </c>
      <c r="C62" s="42">
        <v>117.99</v>
      </c>
      <c r="D62" s="42">
        <v>102.38</v>
      </c>
      <c r="E62" s="42">
        <v>322.8</v>
      </c>
      <c r="F62" s="42">
        <v>132.78</v>
      </c>
      <c r="G62" s="42">
        <v>220</v>
      </c>
    </row>
    <row r="63" spans="2:9">
      <c r="B63" t="s">
        <v>25</v>
      </c>
      <c r="C63" s="42">
        <v>66.91</v>
      </c>
      <c r="D63" s="42">
        <v>95.6</v>
      </c>
      <c r="E63" s="42">
        <v>123.55</v>
      </c>
      <c r="F63" s="42">
        <v>179.7</v>
      </c>
      <c r="G63" s="42">
        <v>132.44</v>
      </c>
    </row>
    <row r="64" spans="2:9">
      <c r="B64" t="s">
        <v>26</v>
      </c>
      <c r="C64" s="42">
        <v>698</v>
      </c>
      <c r="D64" s="42">
        <v>560</v>
      </c>
      <c r="E64" s="42">
        <v>460</v>
      </c>
      <c r="F64" s="42">
        <v>50</v>
      </c>
      <c r="G64" s="42">
        <v>65</v>
      </c>
      <c r="H64" s="46"/>
    </row>
    <row r="65" spans="2:9">
      <c r="B65" t="s">
        <v>27</v>
      </c>
      <c r="C65" s="42">
        <v>428.03</v>
      </c>
      <c r="D65" s="42">
        <v>451.96</v>
      </c>
      <c r="E65" s="42">
        <v>531.13</v>
      </c>
      <c r="F65" s="42">
        <v>630.46</v>
      </c>
      <c r="G65" s="42">
        <v>664.53</v>
      </c>
      <c r="H65" s="46"/>
      <c r="I65" s="9"/>
    </row>
    <row r="66" spans="2:9">
      <c r="B66" t="s">
        <v>28</v>
      </c>
      <c r="C66" s="42">
        <v>138.22</v>
      </c>
      <c r="D66" s="42">
        <v>180.74</v>
      </c>
      <c r="E66" s="42">
        <v>133.71</v>
      </c>
      <c r="F66" s="42">
        <v>123.98</v>
      </c>
      <c r="G66" s="42">
        <v>142.03</v>
      </c>
    </row>
    <row r="67" spans="2:9">
      <c r="B67" t="s">
        <v>88</v>
      </c>
      <c r="C67" s="42" t="s">
        <v>75</v>
      </c>
      <c r="D67" s="42">
        <v>32.36</v>
      </c>
      <c r="E67" s="42">
        <v>6.41</v>
      </c>
      <c r="F67" s="42"/>
      <c r="G67" s="42"/>
      <c r="H67" s="46"/>
    </row>
    <row r="68" spans="2:9" ht="15" thickBot="1">
      <c r="B68" s="18" t="s">
        <v>29</v>
      </c>
      <c r="C68" s="339">
        <f>SUM(C58:C67)</f>
        <v>3982.2999999999997</v>
      </c>
      <c r="D68" s="339">
        <f>SUM(D58:D67)</f>
        <v>4746.2299999999996</v>
      </c>
      <c r="E68" s="339">
        <f>SUM(E58:E67)</f>
        <v>4848.66</v>
      </c>
      <c r="F68" s="339">
        <f>SUM(F58:F67)</f>
        <v>3913.6800000000003</v>
      </c>
      <c r="G68" s="339">
        <f>SUM(G58:G67)</f>
        <v>4677.66</v>
      </c>
      <c r="I68" s="66"/>
    </row>
    <row r="69" spans="2:9" ht="15" thickBot="1">
      <c r="B69" s="11" t="s">
        <v>30</v>
      </c>
      <c r="C69" s="340">
        <f>C56+C68</f>
        <v>7527.41</v>
      </c>
      <c r="D69" s="340">
        <f>D56+D68</f>
        <v>9352.7199999999993</v>
      </c>
      <c r="E69" s="340">
        <f>E56+E68</f>
        <v>9073.5600000000013</v>
      </c>
      <c r="F69" s="340">
        <f>F56+F68</f>
        <v>8838.5500000000011</v>
      </c>
      <c r="G69" s="340">
        <f>G56+G68</f>
        <v>9731.94</v>
      </c>
      <c r="H69" s="66"/>
      <c r="I69" s="41"/>
    </row>
    <row r="70" spans="2:9">
      <c r="B70" s="10" t="s">
        <v>89</v>
      </c>
      <c r="C70" s="210"/>
      <c r="D70" s="210"/>
      <c r="E70" s="210"/>
      <c r="F70" s="210"/>
      <c r="G70" s="210"/>
    </row>
    <row r="71" spans="2:9">
      <c r="B71" s="10" t="s">
        <v>90</v>
      </c>
      <c r="C71" s="210"/>
      <c r="D71" s="210"/>
      <c r="E71" s="210"/>
      <c r="F71" s="210"/>
      <c r="G71" s="210"/>
    </row>
    <row r="72" spans="2:9">
      <c r="B72" t="s">
        <v>31</v>
      </c>
      <c r="C72" s="42">
        <v>24.09</v>
      </c>
      <c r="D72" s="42">
        <v>24.09</v>
      </c>
      <c r="E72" s="42">
        <v>24.09</v>
      </c>
      <c r="F72" s="341">
        <v>24.09</v>
      </c>
      <c r="G72" s="341">
        <v>24.09</v>
      </c>
    </row>
    <row r="73" spans="2:9">
      <c r="B73" t="s">
        <v>32</v>
      </c>
      <c r="C73" s="42">
        <v>2534.0100000000002</v>
      </c>
      <c r="D73" s="42">
        <v>3510.18</v>
      </c>
      <c r="E73" s="42">
        <v>3917.43</v>
      </c>
      <c r="F73" s="42">
        <v>4331.63</v>
      </c>
      <c r="G73" s="42">
        <v>5082.47</v>
      </c>
    </row>
    <row r="74" spans="2:9">
      <c r="B74" s="13" t="s">
        <v>33</v>
      </c>
      <c r="C74" s="338">
        <f>SUM(C72:C73)</f>
        <v>2558.1000000000004</v>
      </c>
      <c r="D74" s="338">
        <f>SUM(D72:D73)</f>
        <v>3534.27</v>
      </c>
      <c r="E74" s="338">
        <f>SUM(E72:E73)</f>
        <v>3941.52</v>
      </c>
      <c r="F74" s="338">
        <f>SUM(F72:F73)</f>
        <v>4355.72</v>
      </c>
      <c r="G74" s="338">
        <f>SUM(G72:G73)</f>
        <v>5106.5600000000004</v>
      </c>
    </row>
    <row r="75" spans="2:9">
      <c r="B75" t="s">
        <v>34</v>
      </c>
      <c r="C75" s="42">
        <v>27.5</v>
      </c>
      <c r="D75" s="42">
        <v>30.23</v>
      </c>
      <c r="E75" s="42">
        <v>24.5</v>
      </c>
      <c r="F75" s="42">
        <v>25.6</v>
      </c>
      <c r="G75" s="42">
        <v>29.32</v>
      </c>
    </row>
    <row r="76" spans="2:9">
      <c r="B76" s="13" t="s">
        <v>35</v>
      </c>
      <c r="C76" s="338">
        <f>SUM(C74:C75)</f>
        <v>2585.6000000000004</v>
      </c>
      <c r="D76" s="338">
        <f>SUM(D74:D75)</f>
        <v>3564.5</v>
      </c>
      <c r="E76" s="338">
        <f>SUM(E74:E75)</f>
        <v>3966.02</v>
      </c>
      <c r="F76" s="338">
        <f>SUM(F74:F75)</f>
        <v>4381.3200000000006</v>
      </c>
      <c r="G76" s="338">
        <f>SUM(G74:G75)</f>
        <v>5135.88</v>
      </c>
    </row>
    <row r="77" spans="2:9">
      <c r="B77" s="10" t="s">
        <v>91</v>
      </c>
      <c r="C77" s="42"/>
      <c r="D77" s="42"/>
      <c r="E77" s="42"/>
      <c r="F77" s="42"/>
      <c r="G77" s="42"/>
    </row>
    <row r="78" spans="2:9">
      <c r="B78" s="10" t="s">
        <v>92</v>
      </c>
      <c r="C78" s="42"/>
      <c r="D78" s="42"/>
      <c r="E78" s="42"/>
      <c r="F78" s="42"/>
      <c r="G78" s="42"/>
    </row>
    <row r="79" spans="2:9">
      <c r="B79" t="s">
        <v>36</v>
      </c>
      <c r="C79" s="42"/>
      <c r="D79" s="42"/>
      <c r="E79" s="42"/>
      <c r="F79" s="42"/>
      <c r="G79" s="42"/>
    </row>
    <row r="80" spans="2:9">
      <c r="B80" t="s">
        <v>37</v>
      </c>
      <c r="C80" s="42">
        <v>706.99</v>
      </c>
      <c r="D80" s="42">
        <v>1551.8</v>
      </c>
      <c r="E80" s="42">
        <v>904.72</v>
      </c>
      <c r="F80" s="341">
        <v>712.94</v>
      </c>
      <c r="G80" s="341">
        <v>286.11</v>
      </c>
    </row>
    <row r="81" spans="2:8">
      <c r="B81" t="s">
        <v>38</v>
      </c>
      <c r="C81" s="42">
        <v>13.76</v>
      </c>
      <c r="D81" s="42">
        <v>14.36</v>
      </c>
      <c r="E81" s="42">
        <v>20.13</v>
      </c>
      <c r="F81" s="42">
        <v>19.45</v>
      </c>
      <c r="G81" s="42">
        <v>19.309999999999999</v>
      </c>
    </row>
    <row r="82" spans="2:8">
      <c r="B82" t="s">
        <v>39</v>
      </c>
      <c r="C82" s="42">
        <v>52.64</v>
      </c>
      <c r="D82" s="42">
        <v>60.15</v>
      </c>
      <c r="E82" s="42">
        <v>65.66</v>
      </c>
      <c r="F82" s="42">
        <v>72.209999999999994</v>
      </c>
      <c r="G82" s="42">
        <v>72.95</v>
      </c>
    </row>
    <row r="83" spans="2:8">
      <c r="B83" t="s">
        <v>40</v>
      </c>
      <c r="C83" s="42">
        <v>0.81</v>
      </c>
      <c r="D83" s="42">
        <v>1.87</v>
      </c>
      <c r="E83" s="42">
        <v>2.06</v>
      </c>
      <c r="F83" s="42">
        <v>1.8</v>
      </c>
      <c r="G83" s="42">
        <v>1.62</v>
      </c>
    </row>
    <row r="84" spans="2:8">
      <c r="B84" t="s">
        <v>47</v>
      </c>
      <c r="C84" s="42">
        <v>20.47</v>
      </c>
      <c r="D84" s="42">
        <v>25.64</v>
      </c>
      <c r="E84" s="42">
        <v>30.56</v>
      </c>
      <c r="F84" s="42">
        <v>32.57</v>
      </c>
      <c r="G84" s="42">
        <v>36.08</v>
      </c>
    </row>
    <row r="85" spans="2:8">
      <c r="B85" s="13" t="s">
        <v>41</v>
      </c>
      <c r="C85" s="338">
        <f>SUM(C80:C84)</f>
        <v>794.67</v>
      </c>
      <c r="D85" s="338">
        <f>SUM(D80:D84)</f>
        <v>1653.82</v>
      </c>
      <c r="E85" s="338">
        <f>SUM(E80:E84)</f>
        <v>1023.1299999999999</v>
      </c>
      <c r="F85" s="338">
        <f>SUM(F80:F84)</f>
        <v>838.97000000000014</v>
      </c>
      <c r="G85" s="338">
        <f>SUM(G80:G84)</f>
        <v>416.07</v>
      </c>
    </row>
    <row r="86" spans="2:8">
      <c r="B86" s="10" t="s">
        <v>93</v>
      </c>
      <c r="C86" s="42"/>
      <c r="D86" s="42"/>
      <c r="E86" s="42"/>
      <c r="F86" s="42"/>
      <c r="G86" s="42"/>
    </row>
    <row r="87" spans="2:8">
      <c r="B87" t="s">
        <v>36</v>
      </c>
      <c r="C87" s="42"/>
      <c r="D87" s="42"/>
      <c r="E87" s="42"/>
      <c r="F87" s="42"/>
      <c r="G87" s="42"/>
    </row>
    <row r="88" spans="2:8">
      <c r="B88" t="s">
        <v>37</v>
      </c>
      <c r="C88" s="42">
        <v>1758.55</v>
      </c>
      <c r="D88" s="42">
        <v>1428.71</v>
      </c>
      <c r="E88" s="42">
        <v>1136.49</v>
      </c>
      <c r="F88" s="42">
        <v>511.83</v>
      </c>
      <c r="G88" s="42">
        <v>1071.72</v>
      </c>
      <c r="H88" s="60"/>
    </row>
    <row r="89" spans="2:8">
      <c r="B89" t="s">
        <v>38</v>
      </c>
      <c r="C89" s="42">
        <v>1.9</v>
      </c>
      <c r="D89" s="42">
        <v>2.5</v>
      </c>
      <c r="E89" s="42">
        <v>3.62</v>
      </c>
      <c r="F89" s="42">
        <v>2.29</v>
      </c>
      <c r="G89" s="42">
        <v>3.14</v>
      </c>
      <c r="H89" s="59"/>
    </row>
    <row r="90" spans="2:8">
      <c r="B90" t="s">
        <v>42</v>
      </c>
      <c r="C90" s="42"/>
      <c r="D90" s="42"/>
      <c r="E90" s="42"/>
      <c r="F90" s="42"/>
      <c r="G90" s="42"/>
    </row>
    <row r="91" spans="2:8">
      <c r="B91" t="s">
        <v>43</v>
      </c>
      <c r="C91" s="42">
        <v>62.76</v>
      </c>
      <c r="D91" s="42">
        <v>43.92</v>
      </c>
      <c r="E91" s="42">
        <v>30.83</v>
      </c>
      <c r="F91" s="341">
        <v>27.83</v>
      </c>
      <c r="G91" s="341">
        <v>21.41</v>
      </c>
    </row>
    <row r="92" spans="2:8">
      <c r="B92" t="s">
        <v>44</v>
      </c>
      <c r="C92" s="42">
        <v>1260.05</v>
      </c>
      <c r="D92" s="42">
        <v>1404.89</v>
      </c>
      <c r="E92" s="42">
        <v>1596.65</v>
      </c>
      <c r="F92" s="341">
        <v>1724.4</v>
      </c>
      <c r="G92" s="341">
        <v>1875</v>
      </c>
    </row>
    <row r="93" spans="2:8">
      <c r="B93" t="s">
        <v>45</v>
      </c>
      <c r="C93" s="42">
        <v>393.96</v>
      </c>
      <c r="D93" s="42">
        <v>496.21</v>
      </c>
      <c r="E93" s="42">
        <v>497.4</v>
      </c>
      <c r="F93" s="42">
        <v>429.34</v>
      </c>
      <c r="G93" s="42">
        <v>442.81</v>
      </c>
    </row>
    <row r="94" spans="2:8">
      <c r="B94" t="s">
        <v>46</v>
      </c>
      <c r="C94" s="42">
        <v>130.72999999999999</v>
      </c>
      <c r="D94" s="42">
        <v>176.34</v>
      </c>
      <c r="E94" s="42">
        <v>167.29</v>
      </c>
      <c r="F94" s="42">
        <v>194.7</v>
      </c>
      <c r="G94" s="42">
        <v>88.67</v>
      </c>
    </row>
    <row r="95" spans="2:8">
      <c r="B95" t="s">
        <v>47</v>
      </c>
      <c r="C95" s="42">
        <v>464.64</v>
      </c>
      <c r="D95" s="42">
        <v>513.39</v>
      </c>
      <c r="E95" s="42">
        <v>559.20000000000005</v>
      </c>
      <c r="F95" s="42">
        <v>604.66</v>
      </c>
      <c r="G95" s="42">
        <v>594.52</v>
      </c>
    </row>
    <row r="96" spans="2:8">
      <c r="B96" t="s">
        <v>48</v>
      </c>
      <c r="C96" s="42">
        <v>74.55</v>
      </c>
      <c r="D96" s="42">
        <v>68.44</v>
      </c>
      <c r="E96" s="42">
        <v>92.93</v>
      </c>
      <c r="F96" s="42">
        <v>123.21</v>
      </c>
      <c r="G96" s="42">
        <v>82.72</v>
      </c>
    </row>
    <row r="97" spans="1:7">
      <c r="B97" s="13" t="s">
        <v>49</v>
      </c>
      <c r="C97" s="338">
        <f>SUM(C88:C96)</f>
        <v>4147.1400000000003</v>
      </c>
      <c r="D97" s="338">
        <f>SUM(D88:D96)</f>
        <v>4134.4000000000005</v>
      </c>
      <c r="E97" s="338">
        <f>SUM(E88:E96)</f>
        <v>4084.4100000000003</v>
      </c>
      <c r="F97" s="338">
        <f>SUM(F88:F96)</f>
        <v>3618.26</v>
      </c>
      <c r="G97" s="338">
        <f>SUM(G88:G96)</f>
        <v>4179.9900000000007</v>
      </c>
    </row>
    <row r="98" spans="1:7" ht="15" thickBot="1">
      <c r="B98" s="13" t="s">
        <v>50</v>
      </c>
      <c r="C98" s="338">
        <f>C85+C97</f>
        <v>4941.8100000000004</v>
      </c>
      <c r="D98" s="338">
        <f>D85+D97</f>
        <v>5788.22</v>
      </c>
      <c r="E98" s="338">
        <f>E85+E97</f>
        <v>5107.54</v>
      </c>
      <c r="F98" s="338">
        <f>F85+F97</f>
        <v>4457.2300000000005</v>
      </c>
      <c r="G98" s="338">
        <f>G85+G97</f>
        <v>4596.0600000000004</v>
      </c>
    </row>
    <row r="99" spans="1:7" ht="15" thickBot="1">
      <c r="B99" s="11" t="s">
        <v>51</v>
      </c>
      <c r="C99" s="340">
        <f>C76+C98</f>
        <v>7527.4100000000008</v>
      </c>
      <c r="D99" s="340">
        <f>D76+D98</f>
        <v>9352.7200000000012</v>
      </c>
      <c r="E99" s="340">
        <f>E76+E98</f>
        <v>9073.56</v>
      </c>
      <c r="F99" s="340">
        <f>F76+F98</f>
        <v>8838.5500000000011</v>
      </c>
      <c r="G99" s="340">
        <f>G76+G98</f>
        <v>9731.94</v>
      </c>
    </row>
    <row r="100" spans="1:7">
      <c r="C100" s="210"/>
      <c r="D100" s="210"/>
      <c r="E100" s="210"/>
      <c r="F100" s="210"/>
      <c r="G100" s="210"/>
    </row>
    <row r="101" spans="1:7">
      <c r="A101" s="64" t="s">
        <v>7</v>
      </c>
      <c r="B101" s="65" t="s">
        <v>147</v>
      </c>
      <c r="C101" s="337">
        <v>2022</v>
      </c>
      <c r="D101" s="337">
        <f>C101+1</f>
        <v>2023</v>
      </c>
      <c r="E101" s="337">
        <f>D101+1</f>
        <v>2024</v>
      </c>
      <c r="F101" s="337">
        <f>E101+1</f>
        <v>2025</v>
      </c>
      <c r="G101" s="337">
        <f>F101+1</f>
        <v>2026</v>
      </c>
    </row>
    <row r="102" spans="1:7">
      <c r="C102" s="210"/>
      <c r="D102" s="210"/>
      <c r="E102" s="210"/>
      <c r="F102" s="210"/>
      <c r="G102" s="210"/>
    </row>
    <row r="103" spans="1:7">
      <c r="B103" s="67" t="s">
        <v>166</v>
      </c>
      <c r="C103" s="210"/>
      <c r="D103" s="210"/>
      <c r="E103" s="210"/>
      <c r="F103" s="210"/>
      <c r="G103" s="210"/>
    </row>
    <row r="104" spans="1:7">
      <c r="B104" t="s">
        <v>167</v>
      </c>
      <c r="C104" s="42">
        <v>2078.5300000000002</v>
      </c>
      <c r="D104" s="42">
        <v>3027.36</v>
      </c>
      <c r="E104" s="42">
        <v>2916.66</v>
      </c>
      <c r="F104" s="42">
        <v>2937.31</v>
      </c>
      <c r="G104" s="42">
        <v>3318.87</v>
      </c>
    </row>
    <row r="105" spans="1:7">
      <c r="B105" t="s">
        <v>168</v>
      </c>
      <c r="C105" s="42"/>
      <c r="D105" s="42"/>
      <c r="E105" s="42"/>
      <c r="F105" s="42"/>
      <c r="G105" s="42"/>
    </row>
    <row r="106" spans="1:7">
      <c r="B106" s="67" t="s">
        <v>169</v>
      </c>
      <c r="C106" s="42"/>
      <c r="D106" s="42"/>
      <c r="E106" s="42"/>
      <c r="F106" s="42"/>
      <c r="G106" s="42"/>
    </row>
    <row r="107" spans="1:7">
      <c r="B107" t="s">
        <v>63</v>
      </c>
      <c r="C107" s="42">
        <v>200.54</v>
      </c>
      <c r="D107" s="42">
        <v>225.91</v>
      </c>
      <c r="E107" s="42">
        <v>300.45999999999998</v>
      </c>
      <c r="F107" s="42">
        <v>313.33999999999997</v>
      </c>
      <c r="G107" s="42">
        <v>336.83</v>
      </c>
    </row>
    <row r="108" spans="1:7">
      <c r="B108" t="s">
        <v>170</v>
      </c>
      <c r="C108" s="42">
        <v>4.78</v>
      </c>
      <c r="D108" s="42"/>
      <c r="E108" s="42"/>
      <c r="F108" s="42"/>
      <c r="G108" s="42"/>
    </row>
    <row r="109" spans="1:7">
      <c r="B109" t="s">
        <v>171</v>
      </c>
      <c r="C109" s="42">
        <v>-28.91</v>
      </c>
      <c r="D109" s="42">
        <v>-42.08</v>
      </c>
      <c r="E109" s="42">
        <v>-25.17</v>
      </c>
      <c r="F109" s="42">
        <v>-81.349999999999994</v>
      </c>
      <c r="G109" s="42">
        <v>-49.83</v>
      </c>
    </row>
    <row r="110" spans="1:7">
      <c r="B110" t="s">
        <v>172</v>
      </c>
      <c r="C110" s="42"/>
      <c r="D110" s="42"/>
      <c r="E110" s="42"/>
      <c r="F110" s="42"/>
      <c r="G110" s="42"/>
    </row>
    <row r="111" spans="1:7">
      <c r="B111" t="s">
        <v>173</v>
      </c>
      <c r="C111" s="42">
        <v>-0.95</v>
      </c>
      <c r="D111" s="42">
        <v>-0.83</v>
      </c>
      <c r="E111" s="42">
        <v>-0.45</v>
      </c>
      <c r="F111" s="42">
        <v>-1.24</v>
      </c>
      <c r="G111" s="42">
        <v>-1.04</v>
      </c>
    </row>
    <row r="112" spans="1:7">
      <c r="B112" t="s">
        <v>174</v>
      </c>
      <c r="C112" s="42"/>
      <c r="D112" s="42">
        <v>-375.6</v>
      </c>
      <c r="E112" s="42"/>
      <c r="F112" s="42"/>
      <c r="G112" s="42"/>
    </row>
    <row r="113" spans="2:14">
      <c r="B113" t="s">
        <v>175</v>
      </c>
      <c r="C113" s="42"/>
      <c r="D113" s="42"/>
      <c r="E113" s="42"/>
      <c r="F113" s="42"/>
      <c r="G113" s="42"/>
    </row>
    <row r="114" spans="2:14">
      <c r="B114" t="s">
        <v>176</v>
      </c>
      <c r="C114" s="42">
        <v>-184.6</v>
      </c>
      <c r="D114" s="42">
        <v>-163.15</v>
      </c>
      <c r="E114" s="42">
        <v>-178.75</v>
      </c>
      <c r="F114" s="42">
        <v>-132.80000000000001</v>
      </c>
      <c r="G114" s="42">
        <v>-163.01</v>
      </c>
    </row>
    <row r="115" spans="2:14">
      <c r="B115" t="s">
        <v>177</v>
      </c>
      <c r="C115" s="42"/>
      <c r="D115" s="42">
        <v>5.59</v>
      </c>
      <c r="E115" s="42"/>
      <c r="F115" s="42"/>
      <c r="G115" s="42"/>
      <c r="J115" s="66"/>
      <c r="K115" s="66"/>
      <c r="L115" s="66"/>
      <c r="M115" s="66"/>
      <c r="N115" s="66"/>
    </row>
    <row r="116" spans="2:14">
      <c r="B116" t="s">
        <v>62</v>
      </c>
      <c r="C116" s="42">
        <v>144.29</v>
      </c>
      <c r="D116" s="42">
        <v>169.1</v>
      </c>
      <c r="E116" s="42">
        <v>164</v>
      </c>
      <c r="F116" s="42">
        <v>138.80000000000001</v>
      </c>
      <c r="G116" s="42">
        <v>112.76</v>
      </c>
    </row>
    <row r="117" spans="2:14">
      <c r="B117" s="67" t="s">
        <v>178</v>
      </c>
      <c r="C117" s="42"/>
      <c r="D117" s="42"/>
      <c r="E117" s="42"/>
      <c r="F117" s="42"/>
      <c r="G117" s="42"/>
      <c r="H117" s="75"/>
    </row>
    <row r="118" spans="2:14">
      <c r="B118" t="s">
        <v>179</v>
      </c>
      <c r="C118" s="42">
        <v>-274.76</v>
      </c>
      <c r="D118" s="42">
        <v>177.15</v>
      </c>
      <c r="E118" s="42">
        <v>12.6</v>
      </c>
      <c r="F118" s="42">
        <v>-54.33</v>
      </c>
      <c r="G118" s="42">
        <v>-105.05</v>
      </c>
    </row>
    <row r="119" spans="2:14">
      <c r="B119" t="s">
        <v>180</v>
      </c>
      <c r="C119" s="42">
        <v>-72.209999999999994</v>
      </c>
      <c r="D119" s="42">
        <v>1.29</v>
      </c>
      <c r="E119" s="42">
        <v>-63.65</v>
      </c>
      <c r="F119" s="42">
        <v>-53.44</v>
      </c>
      <c r="G119" s="42">
        <v>-12.95</v>
      </c>
    </row>
    <row r="120" spans="2:14">
      <c r="B120" t="s">
        <v>181</v>
      </c>
      <c r="C120" s="42">
        <v>-44.29</v>
      </c>
      <c r="D120" s="42">
        <v>-64.819999999999993</v>
      </c>
      <c r="E120" s="42">
        <v>-24.52</v>
      </c>
      <c r="F120" s="42">
        <v>-88.65</v>
      </c>
      <c r="G120" s="42">
        <v>-28.05</v>
      </c>
      <c r="L120" s="66"/>
      <c r="M120" s="66"/>
    </row>
    <row r="121" spans="2:14">
      <c r="B121" t="s">
        <v>182</v>
      </c>
      <c r="C121" s="42">
        <v>64.010000000000005</v>
      </c>
      <c r="D121" s="42">
        <v>292.04000000000002</v>
      </c>
      <c r="E121" s="42">
        <v>236.67</v>
      </c>
      <c r="F121" s="42">
        <v>202.19</v>
      </c>
      <c r="G121" s="42">
        <v>24.81</v>
      </c>
    </row>
    <row r="122" spans="2:14">
      <c r="B122" s="268" t="s">
        <v>183</v>
      </c>
      <c r="C122" s="338">
        <f>SUM(C104:C121)</f>
        <v>1886.4300000000007</v>
      </c>
      <c r="D122" s="338">
        <f>SUM(D104:D121)</f>
        <v>3251.96</v>
      </c>
      <c r="E122" s="338">
        <f>SUM(E104:E121)</f>
        <v>3337.85</v>
      </c>
      <c r="F122" s="338">
        <f>SUM(F104:F121)</f>
        <v>3179.8300000000004</v>
      </c>
      <c r="G122" s="338">
        <f>SUM(G104:G121)</f>
        <v>3433.3399999999997</v>
      </c>
    </row>
    <row r="123" spans="2:14">
      <c r="B123" t="s">
        <v>184</v>
      </c>
      <c r="C123" s="42">
        <v>-586.91</v>
      </c>
      <c r="D123" s="42">
        <v>-725.75</v>
      </c>
      <c r="E123" s="42">
        <v>-764.87</v>
      </c>
      <c r="F123" s="42">
        <v>-689.21</v>
      </c>
      <c r="G123" s="42">
        <v>-821.74</v>
      </c>
    </row>
    <row r="124" spans="2:14">
      <c r="B124" s="268" t="s">
        <v>185</v>
      </c>
      <c r="C124" s="338">
        <f>SUM(C122:C123)</f>
        <v>1299.5200000000009</v>
      </c>
      <c r="D124" s="338">
        <f>SUM(D122:D123)</f>
        <v>2526.21</v>
      </c>
      <c r="E124" s="338">
        <f>SUM(E122:E123)</f>
        <v>2572.98</v>
      </c>
      <c r="F124" s="338">
        <f>SUM(F122:F123)</f>
        <v>2490.6200000000003</v>
      </c>
      <c r="G124" s="338">
        <f>SUM(G122:G123)</f>
        <v>2611.5999999999995</v>
      </c>
      <c r="H124" s="66"/>
      <c r="I124" s="66"/>
      <c r="J124" s="66"/>
      <c r="K124" s="66"/>
      <c r="L124" s="66"/>
    </row>
    <row r="125" spans="2:14">
      <c r="B125" s="67" t="s">
        <v>186</v>
      </c>
      <c r="C125" s="42"/>
      <c r="D125" s="42"/>
      <c r="E125" s="42"/>
      <c r="F125" s="42"/>
      <c r="G125" s="42"/>
    </row>
    <row r="126" spans="2:14">
      <c r="B126" t="s">
        <v>187</v>
      </c>
      <c r="C126" s="42">
        <v>-550.17999999999995</v>
      </c>
      <c r="D126" s="42">
        <v>-711.46</v>
      </c>
      <c r="E126" s="42">
        <v>-552.87</v>
      </c>
      <c r="F126" s="42">
        <v>-374.85</v>
      </c>
      <c r="G126" s="42">
        <v>-205.57</v>
      </c>
    </row>
    <row r="127" spans="2:14">
      <c r="B127" t="s">
        <v>188</v>
      </c>
      <c r="C127" s="42"/>
      <c r="D127" s="42"/>
      <c r="E127" s="42"/>
      <c r="F127" s="42"/>
      <c r="G127" s="42"/>
    </row>
    <row r="128" spans="2:14">
      <c r="B128" t="s">
        <v>189</v>
      </c>
      <c r="C128" s="42"/>
      <c r="D128" s="42">
        <v>-1.45</v>
      </c>
      <c r="E128" s="42"/>
      <c r="F128" s="42"/>
      <c r="G128" s="42"/>
    </row>
    <row r="129" spans="2:13">
      <c r="B129" t="s">
        <v>190</v>
      </c>
      <c r="C129" s="42">
        <v>3.16</v>
      </c>
      <c r="D129" s="42">
        <v>78.430000000000007</v>
      </c>
      <c r="E129" s="42">
        <v>64.52</v>
      </c>
      <c r="F129" s="42">
        <v>4.58</v>
      </c>
      <c r="G129" s="42">
        <v>2.12</v>
      </c>
    </row>
    <row r="130" spans="2:13">
      <c r="B130" t="s">
        <v>191</v>
      </c>
      <c r="C130" s="42">
        <v>-20.68</v>
      </c>
      <c r="D130" s="42">
        <v>-400.82</v>
      </c>
      <c r="E130" s="42">
        <v>-190.9</v>
      </c>
      <c r="F130" s="42">
        <v>-945.05</v>
      </c>
      <c r="G130" s="42">
        <v>-613.24</v>
      </c>
    </row>
    <row r="131" spans="2:13">
      <c r="B131" t="s">
        <v>192</v>
      </c>
      <c r="C131" s="42">
        <v>191.78</v>
      </c>
      <c r="D131" s="42">
        <v>443.27</v>
      </c>
      <c r="E131" s="42">
        <v>294.22000000000003</v>
      </c>
      <c r="F131" s="42">
        <v>572.16</v>
      </c>
      <c r="G131" s="42">
        <v>254.35</v>
      </c>
    </row>
    <row r="132" spans="2:13">
      <c r="B132" t="s">
        <v>193</v>
      </c>
      <c r="C132" s="42">
        <v>876.87</v>
      </c>
      <c r="D132" s="42">
        <v>-1067.32</v>
      </c>
      <c r="E132" s="42">
        <v>476.87</v>
      </c>
      <c r="F132" s="42">
        <v>347.31</v>
      </c>
      <c r="G132" s="42">
        <v>-362.35</v>
      </c>
    </row>
    <row r="133" spans="2:13">
      <c r="B133" t="s">
        <v>194</v>
      </c>
      <c r="C133" s="42"/>
      <c r="D133" s="42">
        <v>-214.91</v>
      </c>
      <c r="E133" s="42"/>
      <c r="F133" s="42"/>
      <c r="G133" s="42"/>
    </row>
    <row r="134" spans="2:13">
      <c r="B134" t="s">
        <v>195</v>
      </c>
      <c r="C134" s="42"/>
      <c r="D134" s="42">
        <v>261.8</v>
      </c>
      <c r="E134" s="42"/>
      <c r="F134" s="42"/>
      <c r="G134" s="42"/>
    </row>
    <row r="135" spans="2:13">
      <c r="B135" t="s">
        <v>196</v>
      </c>
      <c r="C135" s="42"/>
      <c r="D135" s="42"/>
      <c r="E135" s="42"/>
      <c r="F135" s="42"/>
      <c r="G135" s="42"/>
    </row>
    <row r="136" spans="2:13">
      <c r="B136" t="s">
        <v>197</v>
      </c>
      <c r="C136" s="42"/>
      <c r="D136" s="42">
        <v>-138.59</v>
      </c>
      <c r="E136" s="42"/>
      <c r="F136" s="42"/>
      <c r="G136" s="42"/>
    </row>
    <row r="137" spans="2:13">
      <c r="B137" t="s">
        <v>198</v>
      </c>
      <c r="C137" s="42">
        <v>-740</v>
      </c>
      <c r="D137" s="42">
        <v>-850</v>
      </c>
      <c r="E137" s="42">
        <v>-610</v>
      </c>
      <c r="F137" s="42">
        <v>-75</v>
      </c>
      <c r="G137" s="42">
        <v>-115</v>
      </c>
    </row>
    <row r="138" spans="2:13">
      <c r="B138" t="s">
        <v>199</v>
      </c>
      <c r="C138" s="42">
        <v>941.5</v>
      </c>
      <c r="D138" s="42">
        <v>938</v>
      </c>
      <c r="E138" s="42">
        <v>860</v>
      </c>
      <c r="F138" s="42">
        <v>460</v>
      </c>
      <c r="G138" s="42">
        <v>100</v>
      </c>
    </row>
    <row r="139" spans="2:13">
      <c r="B139" t="s">
        <v>200</v>
      </c>
      <c r="C139" s="42">
        <v>1.69</v>
      </c>
      <c r="D139" s="42">
        <v>-28.69</v>
      </c>
      <c r="E139" s="42">
        <v>-27.95</v>
      </c>
      <c r="F139" s="42">
        <v>-74.08</v>
      </c>
      <c r="G139" s="42">
        <v>39.15</v>
      </c>
    </row>
    <row r="140" spans="2:13">
      <c r="B140" t="s">
        <v>157</v>
      </c>
      <c r="C140" s="42">
        <v>206.75</v>
      </c>
      <c r="D140" s="42">
        <v>174.68</v>
      </c>
      <c r="E140" s="42">
        <v>170.26</v>
      </c>
      <c r="F140" s="42">
        <v>151.36000000000001</v>
      </c>
      <c r="G140" s="42">
        <v>143.27000000000001</v>
      </c>
    </row>
    <row r="141" spans="2:13">
      <c r="B141" s="268" t="s">
        <v>201</v>
      </c>
      <c r="C141" s="338">
        <f>SUM(C126:C140)</f>
        <v>910.8900000000001</v>
      </c>
      <c r="D141" s="338">
        <f>SUM(D126:D140)</f>
        <v>-1517.0600000000002</v>
      </c>
      <c r="E141" s="338">
        <f>SUM(E126:E140)</f>
        <v>484.15000000000003</v>
      </c>
      <c r="F141" s="338">
        <f>SUM(F126:F140)</f>
        <v>66.430000000000049</v>
      </c>
      <c r="G141" s="338">
        <f>SUM(G126:G140)</f>
        <v>-757.2700000000001</v>
      </c>
      <c r="J141" s="264"/>
      <c r="K141" s="264"/>
      <c r="L141" s="264"/>
      <c r="M141" s="264"/>
    </row>
    <row r="142" spans="2:13">
      <c r="B142" s="67" t="s">
        <v>202</v>
      </c>
      <c r="C142" s="42"/>
      <c r="D142" s="42"/>
      <c r="E142" s="42"/>
      <c r="F142" s="42"/>
      <c r="G142" s="42"/>
    </row>
    <row r="143" spans="2:13">
      <c r="B143" t="s">
        <v>203</v>
      </c>
      <c r="C143" s="42">
        <v>-1.55</v>
      </c>
      <c r="D143" s="42">
        <v>-2.76</v>
      </c>
      <c r="E143" s="42">
        <v>-1.95</v>
      </c>
      <c r="F143" s="42">
        <v>-3.58</v>
      </c>
      <c r="G143" s="42">
        <v>-2.77</v>
      </c>
      <c r="H143" s="75"/>
    </row>
    <row r="144" spans="2:13">
      <c r="B144" t="s">
        <v>204</v>
      </c>
      <c r="C144" s="42"/>
      <c r="D144" s="42">
        <v>2.69</v>
      </c>
      <c r="E144" s="42"/>
      <c r="F144" s="42"/>
      <c r="G144" s="42"/>
      <c r="H144" s="75"/>
    </row>
    <row r="145" spans="1:13">
      <c r="B145" t="s">
        <v>205</v>
      </c>
      <c r="C145" s="42">
        <v>-0.65</v>
      </c>
      <c r="D145" s="42">
        <v>-0.63</v>
      </c>
      <c r="E145" s="42">
        <v>-0.62</v>
      </c>
      <c r="F145" s="42">
        <v>-0.89</v>
      </c>
      <c r="G145" s="42">
        <v>-0.84</v>
      </c>
      <c r="H145" s="75"/>
    </row>
    <row r="146" spans="1:13">
      <c r="B146" t="s">
        <v>206</v>
      </c>
      <c r="C146" s="42">
        <v>-118.61</v>
      </c>
      <c r="D146" s="42">
        <v>-195.66</v>
      </c>
      <c r="E146" s="42">
        <v>-164.28</v>
      </c>
      <c r="F146" s="42">
        <v>-170.62</v>
      </c>
      <c r="G146" s="42">
        <v>-107.18</v>
      </c>
      <c r="H146" s="75"/>
    </row>
    <row r="147" spans="1:13">
      <c r="B147" t="s">
        <v>207</v>
      </c>
      <c r="C147" s="42">
        <v>698.52</v>
      </c>
      <c r="D147" s="42"/>
      <c r="E147" s="42"/>
      <c r="F147" s="42"/>
      <c r="G147" s="42"/>
      <c r="H147" s="75"/>
    </row>
    <row r="148" spans="1:13">
      <c r="B148" t="s">
        <v>208</v>
      </c>
      <c r="C148" s="42">
        <v>645.35</v>
      </c>
      <c r="D148" s="42">
        <v>299.39999999999998</v>
      </c>
      <c r="E148" s="42">
        <v>-1027.48</v>
      </c>
      <c r="F148" s="42">
        <v>26.26</v>
      </c>
      <c r="G148" s="42">
        <v>324.18</v>
      </c>
      <c r="H148" s="75"/>
    </row>
    <row r="149" spans="1:13">
      <c r="A149" s="75"/>
      <c r="B149" t="s">
        <v>209</v>
      </c>
      <c r="C149" s="42"/>
      <c r="D149" s="42">
        <v>-720.95</v>
      </c>
      <c r="E149" s="42"/>
      <c r="F149" s="42">
        <v>-690.56</v>
      </c>
      <c r="G149" s="42">
        <v>-0.3</v>
      </c>
      <c r="H149" s="75"/>
    </row>
    <row r="150" spans="1:13">
      <c r="B150" t="s">
        <v>210</v>
      </c>
      <c r="C150" s="42"/>
      <c r="D150" s="42">
        <v>1010</v>
      </c>
      <c r="E150" s="42">
        <v>200.84</v>
      </c>
      <c r="F150" s="42" t="s">
        <v>75</v>
      </c>
      <c r="G150" s="42">
        <v>0.16</v>
      </c>
      <c r="H150" s="75"/>
    </row>
    <row r="151" spans="1:13">
      <c r="B151" t="s">
        <v>211</v>
      </c>
      <c r="C151" s="42">
        <v>-966.29</v>
      </c>
      <c r="D151" s="42" t="s">
        <v>75</v>
      </c>
      <c r="E151" s="42"/>
      <c r="F151" s="42"/>
      <c r="G151" s="42"/>
      <c r="H151" s="75"/>
    </row>
    <row r="152" spans="1:13">
      <c r="B152" t="s">
        <v>212</v>
      </c>
      <c r="C152" s="42">
        <v>-17.73</v>
      </c>
      <c r="D152" s="42">
        <v>-70.23</v>
      </c>
      <c r="E152" s="42">
        <v>-113.6</v>
      </c>
      <c r="F152" s="42">
        <v>-148.53</v>
      </c>
      <c r="G152" s="42">
        <v>-191.92</v>
      </c>
      <c r="H152" s="75"/>
    </row>
    <row r="153" spans="1:13">
      <c r="B153" t="s">
        <v>213</v>
      </c>
      <c r="C153" s="42"/>
      <c r="D153" s="42">
        <v>9.01</v>
      </c>
      <c r="E153" s="42">
        <v>0.43</v>
      </c>
      <c r="F153" s="42">
        <v>1.56</v>
      </c>
      <c r="G153" s="42"/>
      <c r="H153" s="75"/>
    </row>
    <row r="154" spans="1:13">
      <c r="B154" t="s">
        <v>214</v>
      </c>
      <c r="C154" s="42">
        <v>-2484.88</v>
      </c>
      <c r="D154" s="42">
        <v>-1359.24</v>
      </c>
      <c r="E154" s="42">
        <v>-1732.47</v>
      </c>
      <c r="F154" s="42">
        <v>-1767.54</v>
      </c>
      <c r="G154" s="42">
        <v>-1803.95</v>
      </c>
      <c r="H154" s="75"/>
    </row>
    <row r="155" spans="1:13">
      <c r="B155" s="268" t="s">
        <v>218</v>
      </c>
      <c r="C155" s="338">
        <f>SUM(C143:C154)</f>
        <v>-2245.84</v>
      </c>
      <c r="D155" s="338">
        <f>SUM(D143:D154)</f>
        <v>-1028.3700000000001</v>
      </c>
      <c r="E155" s="338">
        <f>SUM(E143:E154)</f>
        <v>-2839.13</v>
      </c>
      <c r="F155" s="338">
        <f>SUM(F143:F154)</f>
        <v>-2753.9</v>
      </c>
      <c r="G155" s="338">
        <f>SUM(G143:G154)</f>
        <v>-1782.6200000000001</v>
      </c>
      <c r="J155" s="264"/>
      <c r="K155" s="264"/>
      <c r="L155" s="264"/>
      <c r="M155" s="264"/>
    </row>
    <row r="156" spans="1:13">
      <c r="B156" s="268" t="s">
        <v>219</v>
      </c>
      <c r="C156" s="342">
        <f>C124+C141+C155</f>
        <v>-35.429999999999382</v>
      </c>
      <c r="D156" s="342">
        <f>D124+D141+D155</f>
        <v>-19.220000000000255</v>
      </c>
      <c r="E156" s="342">
        <f>E124+E141+E155</f>
        <v>218</v>
      </c>
      <c r="F156" s="342">
        <f>F124+F141+F155</f>
        <v>-196.84999999999991</v>
      </c>
      <c r="G156" s="342">
        <f>G124+G141+G155</f>
        <v>71.709999999999354</v>
      </c>
      <c r="I156" s="66"/>
      <c r="J156" s="66"/>
      <c r="K156" s="66"/>
      <c r="L156" s="66"/>
      <c r="M156" s="66"/>
    </row>
    <row r="157" spans="1:13">
      <c r="B157" t="s">
        <v>215</v>
      </c>
      <c r="C157" s="42">
        <v>3.3</v>
      </c>
      <c r="D157" s="42">
        <v>10.06</v>
      </c>
      <c r="E157" s="42">
        <v>1.29</v>
      </c>
      <c r="F157" s="42">
        <v>2.64</v>
      </c>
      <c r="G157" s="42">
        <v>15.89</v>
      </c>
    </row>
    <row r="158" spans="1:13">
      <c r="B158" t="s">
        <v>216</v>
      </c>
      <c r="C158" s="42">
        <v>141.44999999999999</v>
      </c>
      <c r="D158" s="42">
        <v>109.32</v>
      </c>
      <c r="E158" s="42">
        <v>100.16</v>
      </c>
      <c r="F158" s="42">
        <v>319.45</v>
      </c>
      <c r="G158" s="42">
        <v>125.24</v>
      </c>
    </row>
    <row r="159" spans="1:13" ht="15" thickBot="1">
      <c r="B159" s="23" t="s">
        <v>217</v>
      </c>
      <c r="C159" s="343">
        <f>SUM(C156:C158)</f>
        <v>109.3200000000006</v>
      </c>
      <c r="D159" s="343">
        <f>SUM(D156:D158)</f>
        <v>100.15999999999974</v>
      </c>
      <c r="E159" s="343">
        <f>SUM(E156:E158)</f>
        <v>319.45</v>
      </c>
      <c r="F159" s="343">
        <f>SUM(F156:F158)</f>
        <v>125.24000000000007</v>
      </c>
      <c r="G159" s="343">
        <f>SUM(G156:G158)</f>
        <v>212.83999999999935</v>
      </c>
      <c r="I159" s="66"/>
      <c r="J159" s="66"/>
      <c r="K159" s="66"/>
      <c r="L159" s="66"/>
      <c r="M159" s="66"/>
    </row>
    <row r="160" spans="1:13" ht="15" thickTop="1">
      <c r="C160" s="69"/>
      <c r="D160" s="69"/>
      <c r="E160" s="69"/>
      <c r="F160" s="69"/>
      <c r="G160" s="69"/>
    </row>
    <row r="161" spans="2:7">
      <c r="C161" s="69"/>
      <c r="D161" s="69"/>
      <c r="E161" s="69"/>
      <c r="F161" s="69"/>
      <c r="G161" s="69"/>
    </row>
    <row r="162" spans="2:7">
      <c r="B162" s="67"/>
      <c r="C162" s="76"/>
      <c r="D162" s="76"/>
      <c r="E162" s="76"/>
      <c r="F162" s="76"/>
      <c r="G162" s="76"/>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09"/>
  <sheetViews>
    <sheetView showGridLines="0" topLeftCell="A32" zoomScale="85" zoomScaleNormal="85" workbookViewId="0">
      <selection activeCell="H150" sqref="H150"/>
    </sheetView>
  </sheetViews>
  <sheetFormatPr defaultColWidth="12.6328125" defaultRowHeight="14.5"/>
  <cols>
    <col min="1" max="1" width="1.81640625" customWidth="1"/>
    <col min="2" max="2" width="45.6328125" customWidth="1"/>
    <col min="8" max="9" width="12.6328125" customWidth="1"/>
    <col min="15" max="15" width="12.6328125" customWidth="1"/>
    <col min="16" max="16" width="10.08984375" bestFit="1" customWidth="1"/>
  </cols>
  <sheetData>
    <row r="1" spans="1:17" ht="18.5">
      <c r="B1" s="1"/>
    </row>
    <row r="2" spans="1:17" ht="31">
      <c r="B2" s="3" t="str">
        <f>'Data Sheet'!B2</f>
        <v>Britannia Industries Ltd</v>
      </c>
      <c r="C2" s="2"/>
      <c r="D2" s="2"/>
      <c r="E2" s="2"/>
      <c r="F2" s="2"/>
      <c r="G2" s="2"/>
      <c r="H2" s="2"/>
      <c r="I2" s="2"/>
      <c r="J2" s="2"/>
      <c r="K2" s="2"/>
      <c r="L2" s="2"/>
      <c r="M2" s="2"/>
      <c r="N2" s="2"/>
      <c r="O2" s="2"/>
      <c r="P2" s="2"/>
      <c r="Q2" s="2"/>
    </row>
    <row r="3" spans="1:17" ht="21">
      <c r="B3" s="19" t="s">
        <v>94</v>
      </c>
      <c r="C3" s="20">
        <v>2022</v>
      </c>
      <c r="D3" s="20">
        <f>C3+1</f>
        <v>2023</v>
      </c>
      <c r="E3" s="20">
        <f t="shared" ref="E3:Q3" si="0">D3+1</f>
        <v>2024</v>
      </c>
      <c r="F3" s="20">
        <f t="shared" si="0"/>
        <v>2025</v>
      </c>
      <c r="G3" s="20">
        <f t="shared" si="0"/>
        <v>2026</v>
      </c>
      <c r="H3" s="21">
        <f t="shared" si="0"/>
        <v>2027</v>
      </c>
      <c r="I3" s="21">
        <f t="shared" si="0"/>
        <v>2028</v>
      </c>
      <c r="J3" s="21">
        <f t="shared" si="0"/>
        <v>2029</v>
      </c>
      <c r="K3" s="21">
        <f t="shared" si="0"/>
        <v>2030</v>
      </c>
      <c r="L3" s="21">
        <f t="shared" si="0"/>
        <v>2031</v>
      </c>
      <c r="M3" s="21">
        <f t="shared" si="0"/>
        <v>2032</v>
      </c>
      <c r="N3" s="21">
        <f t="shared" si="0"/>
        <v>2033</v>
      </c>
      <c r="O3" s="21">
        <f t="shared" si="0"/>
        <v>2034</v>
      </c>
      <c r="P3" s="21">
        <f t="shared" si="0"/>
        <v>2035</v>
      </c>
      <c r="Q3" s="21">
        <f t="shared" si="0"/>
        <v>2036</v>
      </c>
    </row>
    <row r="4" spans="1:17">
      <c r="B4" s="16" t="s">
        <v>82</v>
      </c>
    </row>
    <row r="5" spans="1:17" ht="18.5">
      <c r="A5" t="s">
        <v>7</v>
      </c>
      <c r="B5" s="6" t="s">
        <v>6</v>
      </c>
      <c r="C5" s="7"/>
      <c r="D5" s="7"/>
      <c r="E5" s="7"/>
      <c r="F5" s="7"/>
      <c r="G5" s="7"/>
      <c r="H5" s="7"/>
      <c r="I5" s="7"/>
      <c r="J5" s="7"/>
      <c r="K5" s="7"/>
      <c r="L5" s="7"/>
      <c r="M5" s="7"/>
      <c r="N5" s="7"/>
      <c r="O5" s="7"/>
      <c r="P5" s="7"/>
      <c r="Q5" s="7"/>
    </row>
    <row r="7" spans="1:17">
      <c r="B7" t="s">
        <v>95</v>
      </c>
      <c r="C7" s="24">
        <f>'Data Sheet'!C9</f>
        <v>14136.26</v>
      </c>
      <c r="D7" s="24">
        <f>'Data Sheet'!D9</f>
        <v>16300.55</v>
      </c>
      <c r="E7" s="24">
        <f>'Data Sheet'!E9</f>
        <v>16769.27</v>
      </c>
      <c r="F7" s="24">
        <f>'Data Sheet'!F9</f>
        <v>17942.670000000002</v>
      </c>
      <c r="G7" s="24">
        <f>'Data Sheet'!G9</f>
        <v>19151.59</v>
      </c>
      <c r="H7" s="95">
        <f>G7*(1+H24)</f>
        <v>20679.920056808394</v>
      </c>
      <c r="I7" s="95">
        <f t="shared" ref="I7:Q7" si="1">H7*(1+I24)</f>
        <v>22280.70469627481</v>
      </c>
      <c r="J7" s="95">
        <f t="shared" si="1"/>
        <v>23953.661431321048</v>
      </c>
      <c r="K7" s="95">
        <f t="shared" si="1"/>
        <v>25698.275732071979</v>
      </c>
      <c r="L7" s="95">
        <f t="shared" si="1"/>
        <v>27513.804940042864</v>
      </c>
      <c r="M7" s="95">
        <f t="shared" si="1"/>
        <v>29399.283697509014</v>
      </c>
      <c r="N7" s="95">
        <f t="shared" si="1"/>
        <v>31353.530784258885</v>
      </c>
      <c r="O7" s="95">
        <f t="shared" si="1"/>
        <v>33375.157243602254</v>
      </c>
      <c r="P7" s="95">
        <f t="shared" si="1"/>
        <v>35462.575671520361</v>
      </c>
      <c r="Q7" s="95">
        <f t="shared" si="1"/>
        <v>37614.010537140086</v>
      </c>
    </row>
    <row r="8" spans="1:17">
      <c r="B8" t="s">
        <v>96</v>
      </c>
      <c r="C8" s="24">
        <f>-SUM('Data Sheet'!C13:C15)</f>
        <v>-8760.2999999999993</v>
      </c>
      <c r="D8" s="24">
        <f>-SUM('Data Sheet'!D13:D15)</f>
        <v>-9591.3000000000011</v>
      </c>
      <c r="E8" s="24">
        <f>-SUM('Data Sheet'!E13:E15)</f>
        <v>-9492.0299999999988</v>
      </c>
      <c r="F8" s="36">
        <f>-SUM('Data Sheet'!F13:F15)</f>
        <v>-10604.050000000001</v>
      </c>
      <c r="G8" s="36">
        <f>-SUM('Data Sheet'!G13:G15)</f>
        <v>-11132.88</v>
      </c>
      <c r="H8" s="95">
        <f>-H7*H25</f>
        <v>-12186.446206723587</v>
      </c>
      <c r="I8" s="95">
        <f t="shared" ref="I8:Q8" si="2">-I7*I25</f>
        <v>-13129.770738144314</v>
      </c>
      <c r="J8" s="95">
        <f t="shared" si="2"/>
        <v>-14115.625480416629</v>
      </c>
      <c r="K8" s="95">
        <f t="shared" si="2"/>
        <v>-15143.707226824654</v>
      </c>
      <c r="L8" s="95">
        <f t="shared" si="2"/>
        <v>-16213.578337007624</v>
      </c>
      <c r="M8" s="95">
        <f t="shared" si="2"/>
        <v>-17324.669936426864</v>
      </c>
      <c r="N8" s="95">
        <f t="shared" si="2"/>
        <v>-18476.285945188123</v>
      </c>
      <c r="O8" s="95">
        <f t="shared" si="2"/>
        <v>-19667.607866607545</v>
      </c>
      <c r="P8" s="95">
        <f t="shared" si="2"/>
        <v>-20897.700261204234</v>
      </c>
      <c r="Q8" s="95">
        <f t="shared" si="2"/>
        <v>-22165.516828440555</v>
      </c>
    </row>
    <row r="9" spans="1:17">
      <c r="B9" s="13" t="s">
        <v>97</v>
      </c>
      <c r="C9" s="25">
        <f t="shared" ref="C9:Q9" si="3">SUM(C7:C8)</f>
        <v>5375.9600000000009</v>
      </c>
      <c r="D9" s="25">
        <f t="shared" si="3"/>
        <v>6709.2499999999982</v>
      </c>
      <c r="E9" s="25">
        <f t="shared" si="3"/>
        <v>7277.2400000000016</v>
      </c>
      <c r="F9" s="25">
        <f t="shared" si="3"/>
        <v>7338.6200000000008</v>
      </c>
      <c r="G9" s="25">
        <f t="shared" si="3"/>
        <v>8018.7100000000009</v>
      </c>
      <c r="H9" s="96">
        <f t="shared" si="3"/>
        <v>8493.4738500848071</v>
      </c>
      <c r="I9" s="96">
        <f t="shared" si="3"/>
        <v>9150.9339581304957</v>
      </c>
      <c r="J9" s="96">
        <f t="shared" si="3"/>
        <v>9838.0359509044192</v>
      </c>
      <c r="K9" s="96">
        <f t="shared" si="3"/>
        <v>10554.568505247325</v>
      </c>
      <c r="L9" s="96">
        <f t="shared" si="3"/>
        <v>11300.22660303524</v>
      </c>
      <c r="M9" s="96">
        <f t="shared" si="3"/>
        <v>12074.61376108215</v>
      </c>
      <c r="N9" s="96">
        <f t="shared" si="3"/>
        <v>12877.244839070761</v>
      </c>
      <c r="O9" s="96">
        <f t="shared" si="3"/>
        <v>13707.54937699471</v>
      </c>
      <c r="P9" s="96">
        <f t="shared" si="3"/>
        <v>14564.875410316126</v>
      </c>
      <c r="Q9" s="96">
        <f t="shared" si="3"/>
        <v>15448.493708699531</v>
      </c>
    </row>
    <row r="10" spans="1:17">
      <c r="B10" t="s">
        <v>98</v>
      </c>
      <c r="C10" s="24">
        <f>-'Data Sheet'!C16</f>
        <v>-542.26</v>
      </c>
      <c r="D10" s="24">
        <f>-'Data Sheet'!D16</f>
        <v>-658.38</v>
      </c>
      <c r="E10" s="24">
        <f>-'Data Sheet'!E16</f>
        <v>-708.7</v>
      </c>
      <c r="F10" s="24">
        <f>-'Data Sheet'!F16</f>
        <v>-704.59</v>
      </c>
      <c r="G10" s="24">
        <f>-'Data Sheet'!G16</f>
        <v>-823.8</v>
      </c>
      <c r="H10" s="95">
        <f>-H7*H26</f>
        <v>-840.82508166621562</v>
      </c>
      <c r="I10" s="95">
        <f t="shared" ref="I10:Q10" si="4">-I7*I26</f>
        <v>-905.91140073862618</v>
      </c>
      <c r="J10" s="95">
        <f t="shared" si="4"/>
        <v>-973.93216578535498</v>
      </c>
      <c r="K10" s="95">
        <f t="shared" si="4"/>
        <v>-1044.8664565309325</v>
      </c>
      <c r="L10" s="95">
        <f t="shared" si="4"/>
        <v>-1118.6840772164121</v>
      </c>
      <c r="M10" s="95">
        <f t="shared" si="4"/>
        <v>-1195.345777352165</v>
      </c>
      <c r="N10" s="95">
        <f t="shared" si="4"/>
        <v>-1274.803529693497</v>
      </c>
      <c r="O10" s="95">
        <f t="shared" si="4"/>
        <v>-1357.0008606360959</v>
      </c>
      <c r="P10" s="95">
        <f t="shared" si="4"/>
        <v>-1441.8732279036842</v>
      </c>
      <c r="Q10" s="95">
        <f t="shared" si="4"/>
        <v>-1529.3484401682831</v>
      </c>
    </row>
    <row r="11" spans="1:17">
      <c r="B11" t="s">
        <v>99</v>
      </c>
      <c r="C11" s="24">
        <f>-'Data Sheet'!C19</f>
        <v>-2632.19</v>
      </c>
      <c r="D11" s="24">
        <f>-'Data Sheet'!D19</f>
        <v>-3219.96</v>
      </c>
      <c r="E11" s="24">
        <f>-'Data Sheet'!E19</f>
        <v>-3398.7</v>
      </c>
      <c r="F11" s="24">
        <f>-'Data Sheet'!F19</f>
        <v>-3446.88</v>
      </c>
      <c r="G11" s="24">
        <f>-'Data Sheet'!G19</f>
        <v>-3650.48</v>
      </c>
      <c r="H11" s="95">
        <f>-H7*H27</f>
        <v>-4008.2955965314832</v>
      </c>
      <c r="I11" s="95">
        <f t="shared" ref="I11:Q11" si="5">-I7*I27</f>
        <v>-4318.5684604372609</v>
      </c>
      <c r="J11" s="95">
        <f t="shared" si="5"/>
        <v>-4642.8301159878019</v>
      </c>
      <c r="K11" s="95">
        <f t="shared" si="5"/>
        <v>-4980.9808341789749</v>
      </c>
      <c r="L11" s="95">
        <f t="shared" si="5"/>
        <v>-5332.8766688675696</v>
      </c>
      <c r="M11" s="95">
        <f t="shared" si="5"/>
        <v>-5698.3305091215152</v>
      </c>
      <c r="N11" s="95">
        <f t="shared" si="5"/>
        <v>-6077.11340435689</v>
      </c>
      <c r="O11" s="95">
        <f t="shared" si="5"/>
        <v>-6468.9561393654203</v>
      </c>
      <c r="P11" s="95">
        <f t="shared" si="5"/>
        <v>-6873.5510347885374</v>
      </c>
      <c r="Q11" s="95">
        <f t="shared" si="5"/>
        <v>-7290.5539474883244</v>
      </c>
    </row>
    <row r="12" spans="1:17">
      <c r="B12" s="13" t="s">
        <v>100</v>
      </c>
      <c r="C12" s="25">
        <f t="shared" ref="C12:Q12" si="6">SUM(C9:C11)</f>
        <v>2201.5100000000007</v>
      </c>
      <c r="D12" s="25">
        <f t="shared" si="6"/>
        <v>2830.909999999998</v>
      </c>
      <c r="E12" s="25">
        <f t="shared" si="6"/>
        <v>3169.840000000002</v>
      </c>
      <c r="F12" s="25">
        <f t="shared" si="6"/>
        <v>3187.1500000000005</v>
      </c>
      <c r="G12" s="25">
        <f t="shared" si="6"/>
        <v>3544.4300000000007</v>
      </c>
      <c r="H12" s="96">
        <f t="shared" si="6"/>
        <v>3644.3531718871081</v>
      </c>
      <c r="I12" s="96">
        <f t="shared" si="6"/>
        <v>3926.4540969546078</v>
      </c>
      <c r="J12" s="96">
        <f t="shared" si="6"/>
        <v>4221.273669131263</v>
      </c>
      <c r="K12" s="96">
        <f t="shared" si="6"/>
        <v>4528.7212145374187</v>
      </c>
      <c r="L12" s="96">
        <f t="shared" si="6"/>
        <v>4848.6658569512583</v>
      </c>
      <c r="M12" s="96">
        <f t="shared" si="6"/>
        <v>5180.9374746084686</v>
      </c>
      <c r="N12" s="96">
        <f t="shared" si="6"/>
        <v>5525.3279050203737</v>
      </c>
      <c r="O12" s="96">
        <f t="shared" si="6"/>
        <v>5881.5923769931942</v>
      </c>
      <c r="P12" s="96">
        <f t="shared" si="6"/>
        <v>6249.451147623904</v>
      </c>
      <c r="Q12" s="96">
        <f t="shared" si="6"/>
        <v>6628.5913210429226</v>
      </c>
    </row>
    <row r="13" spans="1:17">
      <c r="B13" t="s">
        <v>101</v>
      </c>
      <c r="C13" s="24">
        <f>-'Data Sheet'!C18</f>
        <v>-200.54</v>
      </c>
      <c r="D13" s="24">
        <f>-'Data Sheet'!D18</f>
        <v>-225.91</v>
      </c>
      <c r="E13" s="24">
        <f>-'Data Sheet'!E18</f>
        <v>-300.45999999999998</v>
      </c>
      <c r="F13" s="24">
        <f>-'Data Sheet'!F18</f>
        <v>-313.33999999999997</v>
      </c>
      <c r="G13" s="24">
        <f>-'Data Sheet'!G18</f>
        <v>-336.83</v>
      </c>
      <c r="H13" s="95">
        <f>-H109*H28</f>
        <v>-308.18661327081497</v>
      </c>
      <c r="I13" s="95">
        <f t="shared" ref="I13:Q13" si="7">-I109*I28</f>
        <v>-300.31314925273495</v>
      </c>
      <c r="J13" s="95">
        <f t="shared" si="7"/>
        <v>-294.595412370031</v>
      </c>
      <c r="K13" s="95">
        <f t="shared" si="7"/>
        <v>-290.78597415157293</v>
      </c>
      <c r="L13" s="95">
        <f t="shared" si="7"/>
        <v>-288.66116924000124</v>
      </c>
      <c r="M13" s="95">
        <f t="shared" si="7"/>
        <v>-288.01849112827705</v>
      </c>
      <c r="N13" s="95">
        <f t="shared" si="7"/>
        <v>-288.67430738511109</v>
      </c>
      <c r="O13" s="95">
        <f t="shared" si="7"/>
        <v>-290.46185654341531</v>
      </c>
      <c r="P13" s="95">
        <f t="shared" si="7"/>
        <v>-293.22949289950321</v>
      </c>
      <c r="Q13" s="95">
        <f t="shared" si="7"/>
        <v>-296.83914912725675</v>
      </c>
    </row>
    <row r="14" spans="1:17">
      <c r="B14" s="13" t="s">
        <v>102</v>
      </c>
      <c r="C14" s="25">
        <f t="shared" ref="C14:Q14" si="8">SUM(C12:C13)</f>
        <v>2000.9700000000007</v>
      </c>
      <c r="D14" s="25">
        <f t="shared" si="8"/>
        <v>2604.9999999999982</v>
      </c>
      <c r="E14" s="25">
        <f t="shared" si="8"/>
        <v>2869.3800000000019</v>
      </c>
      <c r="F14" s="25">
        <f t="shared" si="8"/>
        <v>2873.8100000000004</v>
      </c>
      <c r="G14" s="25">
        <f t="shared" si="8"/>
        <v>3207.6000000000008</v>
      </c>
      <c r="H14" s="96">
        <f t="shared" si="8"/>
        <v>3336.1665586162931</v>
      </c>
      <c r="I14" s="96">
        <f t="shared" si="8"/>
        <v>3626.1409477018728</v>
      </c>
      <c r="J14" s="96">
        <f t="shared" si="8"/>
        <v>3926.6782567612318</v>
      </c>
      <c r="K14" s="96">
        <f t="shared" si="8"/>
        <v>4237.9352403858456</v>
      </c>
      <c r="L14" s="96">
        <f t="shared" si="8"/>
        <v>4560.0046877112572</v>
      </c>
      <c r="M14" s="96">
        <f t="shared" si="8"/>
        <v>4892.9189834801919</v>
      </c>
      <c r="N14" s="96">
        <f t="shared" si="8"/>
        <v>5236.6535976352625</v>
      </c>
      <c r="O14" s="96">
        <f t="shared" si="8"/>
        <v>5591.1305204497785</v>
      </c>
      <c r="P14" s="96">
        <f t="shared" si="8"/>
        <v>5956.2216547244007</v>
      </c>
      <c r="Q14" s="96">
        <f t="shared" si="8"/>
        <v>6331.7521719156657</v>
      </c>
    </row>
    <row r="15" spans="1:17">
      <c r="B15" t="s">
        <v>103</v>
      </c>
      <c r="C15" s="24">
        <f>-'Data Sheet'!C17</f>
        <v>-144.29</v>
      </c>
      <c r="D15" s="24">
        <f>-'Data Sheet'!D17</f>
        <v>-169.1</v>
      </c>
      <c r="E15" s="24">
        <f>-'Data Sheet'!E17</f>
        <v>-164</v>
      </c>
      <c r="F15" s="24">
        <f>-'Data Sheet'!F17</f>
        <v>-138.80000000000001</v>
      </c>
      <c r="G15" s="24">
        <f>-'Data Sheet'!G17</f>
        <v>-112.76</v>
      </c>
      <c r="H15" s="95">
        <f>H118</f>
        <v>-96.807492099353553</v>
      </c>
      <c r="I15" s="95">
        <f t="shared" ref="I15:Q15" si="9">I118</f>
        <v>-96.807492099353553</v>
      </c>
      <c r="J15" s="95">
        <f t="shared" si="9"/>
        <v>-96.807492099353553</v>
      </c>
      <c r="K15" s="95">
        <f t="shared" si="9"/>
        <v>-96.807492099353553</v>
      </c>
      <c r="L15" s="95">
        <f t="shared" si="9"/>
        <v>-96.807492099353553</v>
      </c>
      <c r="M15" s="95">
        <f t="shared" si="9"/>
        <v>-96.807492099353553</v>
      </c>
      <c r="N15" s="95">
        <f t="shared" si="9"/>
        <v>-96.807492099353553</v>
      </c>
      <c r="O15" s="95">
        <f t="shared" si="9"/>
        <v>-96.807492099353553</v>
      </c>
      <c r="P15" s="95">
        <f t="shared" si="9"/>
        <v>-96.807492099353553</v>
      </c>
      <c r="Q15" s="95">
        <f t="shared" si="9"/>
        <v>-96.807492099353553</v>
      </c>
    </row>
    <row r="16" spans="1:17">
      <c r="B16" s="22" t="s">
        <v>107</v>
      </c>
      <c r="C16" s="24">
        <f>'Data Sheet'!C10+'Data Sheet'!C22-'Data Sheet'!C24</f>
        <v>221.65000000000003</v>
      </c>
      <c r="D16" s="24">
        <f>'Data Sheet'!D10+'Data Sheet'!D22-'Data Sheet'!D24</f>
        <v>596.87</v>
      </c>
      <c r="E16" s="24">
        <f>'Data Sheet'!E10+'Data Sheet'!E22-'Data Sheet'!E24</f>
        <v>208.09</v>
      </c>
      <c r="F16" s="24">
        <f>'Data Sheet'!F10+'Data Sheet'!F22-'Data Sheet'!F24</f>
        <v>191.56</v>
      </c>
      <c r="G16" s="24">
        <f>'Data Sheet'!G10+'Data Sheet'!G22-'Data Sheet'!G24</f>
        <v>193.94</v>
      </c>
      <c r="H16" s="95">
        <f>H7*H30</f>
        <v>353.65930753766298</v>
      </c>
      <c r="I16" s="95">
        <f t="shared" ref="I16:Q16" si="10">I7*I30</f>
        <v>381.03525413491462</v>
      </c>
      <c r="J16" s="95">
        <f t="shared" si="10"/>
        <v>409.64545759951324</v>
      </c>
      <c r="K16" s="95">
        <f t="shared" si="10"/>
        <v>439.48111865762962</v>
      </c>
      <c r="L16" s="95">
        <f t="shared" si="10"/>
        <v>470.52953667576384</v>
      </c>
      <c r="M16" s="95">
        <f t="shared" si="10"/>
        <v>502.77420251154484</v>
      </c>
      <c r="N16" s="95">
        <f t="shared" si="10"/>
        <v>536.19491543301058</v>
      </c>
      <c r="O16" s="95">
        <f t="shared" si="10"/>
        <v>570.76792208618701</v>
      </c>
      <c r="P16" s="95">
        <f t="shared" si="10"/>
        <v>606.46607535423254</v>
      </c>
      <c r="Q16" s="95">
        <f t="shared" si="10"/>
        <v>643.25901085385294</v>
      </c>
    </row>
    <row r="17" spans="1:17">
      <c r="B17" s="13" t="s">
        <v>104</v>
      </c>
      <c r="C17" s="25">
        <f t="shared" ref="C17:Q17" si="11">SUM(C14:C16)</f>
        <v>2078.3300000000008</v>
      </c>
      <c r="D17" s="25">
        <f t="shared" si="11"/>
        <v>3032.7699999999982</v>
      </c>
      <c r="E17" s="25">
        <f t="shared" si="11"/>
        <v>2913.4700000000021</v>
      </c>
      <c r="F17" s="25">
        <f t="shared" si="11"/>
        <v>2926.57</v>
      </c>
      <c r="G17" s="25">
        <f t="shared" si="11"/>
        <v>3288.7800000000007</v>
      </c>
      <c r="H17" s="96">
        <f t="shared" si="11"/>
        <v>3593.0183740546026</v>
      </c>
      <c r="I17" s="96">
        <f t="shared" si="11"/>
        <v>3910.3687097374341</v>
      </c>
      <c r="J17" s="96">
        <f t="shared" si="11"/>
        <v>4239.5162222613917</v>
      </c>
      <c r="K17" s="96">
        <f t="shared" si="11"/>
        <v>4580.6088669441224</v>
      </c>
      <c r="L17" s="96">
        <f t="shared" si="11"/>
        <v>4933.7267322876678</v>
      </c>
      <c r="M17" s="96">
        <f t="shared" si="11"/>
        <v>5298.8856938923836</v>
      </c>
      <c r="N17" s="96">
        <f t="shared" si="11"/>
        <v>5676.0410209689198</v>
      </c>
      <c r="O17" s="96">
        <f t="shared" si="11"/>
        <v>6065.0909504366127</v>
      </c>
      <c r="P17" s="96">
        <f t="shared" si="11"/>
        <v>6465.8802379792796</v>
      </c>
      <c r="Q17" s="96">
        <f t="shared" si="11"/>
        <v>6878.2036906701651</v>
      </c>
    </row>
    <row r="18" spans="1:17">
      <c r="B18" t="s">
        <v>105</v>
      </c>
      <c r="C18" s="24">
        <f>-'Data Sheet'!C29</f>
        <v>-562.35</v>
      </c>
      <c r="D18" s="24">
        <f>-'Data Sheet'!D29</f>
        <v>-716.45</v>
      </c>
      <c r="E18" s="24">
        <f>-'Data Sheet'!E29</f>
        <v>-779.25</v>
      </c>
      <c r="F18" s="24">
        <f>-'Data Sheet'!F29</f>
        <v>-748.71</v>
      </c>
      <c r="G18" s="24">
        <f>-'Data Sheet'!G29</f>
        <v>-751.77</v>
      </c>
      <c r="H18" s="95">
        <f>-H17*H31</f>
        <v>-904.50412171898711</v>
      </c>
      <c r="I18" s="95">
        <f t="shared" ref="I18:Q18" si="12">-I17*I31</f>
        <v>-984.39368997914175</v>
      </c>
      <c r="J18" s="95">
        <f t="shared" si="12"/>
        <v>-1067.2530719075203</v>
      </c>
      <c r="K18" s="95">
        <f t="shared" si="12"/>
        <v>-1153.1195136800975</v>
      </c>
      <c r="L18" s="95">
        <f t="shared" si="12"/>
        <v>-1242.0131767245807</v>
      </c>
      <c r="M18" s="95">
        <f t="shared" si="12"/>
        <v>-1333.9380575543362</v>
      </c>
      <c r="N18" s="95">
        <f t="shared" si="12"/>
        <v>-1428.8828956693819</v>
      </c>
      <c r="O18" s="95">
        <f t="shared" si="12"/>
        <v>-1526.8220732976069</v>
      </c>
      <c r="P18" s="95">
        <f t="shared" si="12"/>
        <v>-1627.7165093352583</v>
      </c>
      <c r="Q18" s="95">
        <f t="shared" si="12"/>
        <v>-1731.5145486476624</v>
      </c>
    </row>
    <row r="19" spans="1:17" ht="15" thickBot="1">
      <c r="B19" s="23" t="s">
        <v>106</v>
      </c>
      <c r="C19" s="26">
        <f t="shared" ref="C19:Q19" si="13">SUM(C17:C18)</f>
        <v>1515.9800000000009</v>
      </c>
      <c r="D19" s="26">
        <f t="shared" si="13"/>
        <v>2316.3199999999979</v>
      </c>
      <c r="E19" s="26">
        <f t="shared" si="13"/>
        <v>2134.2200000000021</v>
      </c>
      <c r="F19" s="26">
        <f t="shared" si="13"/>
        <v>2177.86</v>
      </c>
      <c r="G19" s="26">
        <f t="shared" si="13"/>
        <v>2537.0100000000007</v>
      </c>
      <c r="H19" s="26">
        <f t="shared" si="13"/>
        <v>2688.5142523356153</v>
      </c>
      <c r="I19" s="26">
        <f t="shared" si="13"/>
        <v>2925.9750197582925</v>
      </c>
      <c r="J19" s="26">
        <f t="shared" si="13"/>
        <v>3172.2631503538714</v>
      </c>
      <c r="K19" s="26">
        <f t="shared" si="13"/>
        <v>3427.4893532640249</v>
      </c>
      <c r="L19" s="26">
        <f t="shared" si="13"/>
        <v>3691.7135555630871</v>
      </c>
      <c r="M19" s="26">
        <f t="shared" si="13"/>
        <v>3964.9476363380472</v>
      </c>
      <c r="N19" s="26">
        <f t="shared" si="13"/>
        <v>4247.1581252995384</v>
      </c>
      <c r="O19" s="26">
        <f t="shared" si="13"/>
        <v>4538.2688771390058</v>
      </c>
      <c r="P19" s="26">
        <f t="shared" si="13"/>
        <v>4838.1637286440218</v>
      </c>
      <c r="Q19" s="26">
        <f t="shared" si="13"/>
        <v>5146.6891420225029</v>
      </c>
    </row>
    <row r="20" spans="1:17" ht="15" thickTop="1"/>
    <row r="21" spans="1:17">
      <c r="A21" t="s">
        <v>7</v>
      </c>
      <c r="B21" s="8" t="s">
        <v>108</v>
      </c>
      <c r="C21" s="7"/>
      <c r="D21" s="7"/>
      <c r="E21" s="7"/>
      <c r="F21" s="7"/>
      <c r="G21" s="7"/>
      <c r="H21" s="7"/>
      <c r="I21" s="7"/>
      <c r="J21" s="7"/>
      <c r="K21" s="7"/>
      <c r="L21" s="7"/>
      <c r="M21" s="7"/>
      <c r="N21" s="7"/>
      <c r="O21" s="7"/>
      <c r="P21" s="7"/>
      <c r="Q21" s="7"/>
    </row>
    <row r="22" spans="1:17" s="101" customFormat="1">
      <c r="B22" s="102"/>
      <c r="C22" s="103"/>
      <c r="D22" s="103"/>
      <c r="E22" s="103"/>
      <c r="F22" s="103"/>
      <c r="G22" s="103"/>
      <c r="H22" s="103"/>
      <c r="I22" s="103"/>
      <c r="J22" s="103"/>
      <c r="K22" s="103"/>
      <c r="L22" s="103"/>
      <c r="M22" s="103"/>
      <c r="N22" s="103"/>
      <c r="O22" s="103"/>
      <c r="P22" s="103"/>
      <c r="Q22" s="103"/>
    </row>
    <row r="23" spans="1:17">
      <c r="B23" t="s">
        <v>239</v>
      </c>
      <c r="C23" s="104" t="s">
        <v>235</v>
      </c>
      <c r="D23" s="104">
        <f>IF(C23=B123,1,IF(C23=B124,2,3))</f>
        <v>1</v>
      </c>
    </row>
    <row r="24" spans="1:17">
      <c r="B24" s="31" t="s">
        <v>109</v>
      </c>
      <c r="C24" s="61" t="s">
        <v>120</v>
      </c>
      <c r="D24" s="90">
        <f>D7/C7-1</f>
        <v>0.15310202274151719</v>
      </c>
      <c r="E24" s="90">
        <f>E7/D7-1</f>
        <v>2.8754857964915281E-2</v>
      </c>
      <c r="F24" s="90">
        <f>F7/E7-1</f>
        <v>6.9973230796570141E-2</v>
      </c>
      <c r="G24" s="90">
        <f>G7/F7-1</f>
        <v>6.7376817385595311E-2</v>
      </c>
      <c r="H24" s="107">
        <f>CHOOSE($D$23,H123:Q123,H124:Q124,H125:Q125)</f>
        <v>7.980173222214948E-2</v>
      </c>
      <c r="I24" s="107">
        <f t="shared" ref="I24:Q24" si="14">CHOOSE($D$23,I123:R123,I124:R124,I125:R125)</f>
        <v>7.7407680255484987E-2</v>
      </c>
      <c r="J24" s="107">
        <f t="shared" si="14"/>
        <v>7.5085449847820437E-2</v>
      </c>
      <c r="K24" s="107">
        <f t="shared" si="14"/>
        <v>7.2832886352385828E-2</v>
      </c>
      <c r="L24" s="107">
        <f t="shared" si="14"/>
        <v>7.0647899761814251E-2</v>
      </c>
      <c r="M24" s="107">
        <f t="shared" si="14"/>
        <v>6.8528462768959825E-2</v>
      </c>
      <c r="N24" s="107">
        <f t="shared" si="14"/>
        <v>6.647260888589103E-2</v>
      </c>
      <c r="O24" s="107">
        <f t="shared" si="14"/>
        <v>6.4478430619314298E-2</v>
      </c>
      <c r="P24" s="107">
        <f t="shared" si="14"/>
        <v>6.2544077700734863E-2</v>
      </c>
      <c r="Q24" s="107">
        <f t="shared" si="14"/>
        <v>6.0667755369712813E-2</v>
      </c>
    </row>
    <row r="25" spans="1:17">
      <c r="B25" s="31" t="s">
        <v>110</v>
      </c>
      <c r="C25" s="90">
        <f>-C8/C7</f>
        <v>0.61970422162580474</v>
      </c>
      <c r="D25" s="90">
        <f>-D8/D7</f>
        <v>0.58840345877899836</v>
      </c>
      <c r="E25" s="90">
        <f>-E8/E7</f>
        <v>0.56603716202315302</v>
      </c>
      <c r="F25" s="90">
        <f>-F8/F7</f>
        <v>0.59099621182354689</v>
      </c>
      <c r="G25" s="90">
        <f>-G8/G7</f>
        <v>0.58130317117273289</v>
      </c>
      <c r="H25" s="90">
        <f>AVERAGE(C25:G25)</f>
        <v>0.58928884508484725</v>
      </c>
      <c r="I25" s="90">
        <f>H25</f>
        <v>0.58928884508484725</v>
      </c>
      <c r="J25" s="90">
        <f t="shared" ref="J25:Q25" si="15">I25</f>
        <v>0.58928884508484725</v>
      </c>
      <c r="K25" s="90">
        <f t="shared" si="15"/>
        <v>0.58928884508484725</v>
      </c>
      <c r="L25" s="90">
        <f t="shared" si="15"/>
        <v>0.58928884508484725</v>
      </c>
      <c r="M25" s="90">
        <f t="shared" si="15"/>
        <v>0.58928884508484725</v>
      </c>
      <c r="N25" s="90">
        <f t="shared" si="15"/>
        <v>0.58928884508484725</v>
      </c>
      <c r="O25" s="90">
        <f t="shared" si="15"/>
        <v>0.58928884508484725</v>
      </c>
      <c r="P25" s="90">
        <f t="shared" si="15"/>
        <v>0.58928884508484725</v>
      </c>
      <c r="Q25" s="90">
        <f t="shared" si="15"/>
        <v>0.58928884508484725</v>
      </c>
    </row>
    <row r="26" spans="1:17">
      <c r="B26" s="29" t="s">
        <v>111</v>
      </c>
      <c r="C26" s="90">
        <f>-C10/C7</f>
        <v>3.8359509516661408E-2</v>
      </c>
      <c r="D26" s="90">
        <f>-D10/D7</f>
        <v>4.0390048188558056E-2</v>
      </c>
      <c r="E26" s="90">
        <f>-E10/E7</f>
        <v>4.2261827736091079E-2</v>
      </c>
      <c r="F26" s="90">
        <f>-F10/F7</f>
        <v>3.926896052817111E-2</v>
      </c>
      <c r="G26" s="90">
        <f>-G10/G7</f>
        <v>4.3014705306452357E-2</v>
      </c>
      <c r="H26" s="90">
        <f>AVERAGE(C26:G26)</f>
        <v>4.0659010255186798E-2</v>
      </c>
      <c r="I26" s="90">
        <f t="shared" ref="I26:Q36" si="16">H26</f>
        <v>4.0659010255186798E-2</v>
      </c>
      <c r="J26" s="90">
        <f t="shared" si="16"/>
        <v>4.0659010255186798E-2</v>
      </c>
      <c r="K26" s="90">
        <f t="shared" si="16"/>
        <v>4.0659010255186798E-2</v>
      </c>
      <c r="L26" s="90">
        <f t="shared" si="16"/>
        <v>4.0659010255186798E-2</v>
      </c>
      <c r="M26" s="90">
        <f t="shared" si="16"/>
        <v>4.0659010255186798E-2</v>
      </c>
      <c r="N26" s="90">
        <f t="shared" si="16"/>
        <v>4.0659010255186798E-2</v>
      </c>
      <c r="O26" s="90">
        <f t="shared" si="16"/>
        <v>4.0659010255186798E-2</v>
      </c>
      <c r="P26" s="90">
        <f t="shared" si="16"/>
        <v>4.0659010255186798E-2</v>
      </c>
      <c r="Q26" s="90">
        <f t="shared" si="16"/>
        <v>4.0659010255186798E-2</v>
      </c>
    </row>
    <row r="27" spans="1:17">
      <c r="B27" s="28" t="s">
        <v>112</v>
      </c>
      <c r="C27" s="90">
        <f>-C11/C7</f>
        <v>0.18620130076837862</v>
      </c>
      <c r="D27" s="90">
        <f>-D11/D7</f>
        <v>0.19753689292692578</v>
      </c>
      <c r="E27" s="90">
        <f>-E11/E7</f>
        <v>0.20267429649591184</v>
      </c>
      <c r="F27" s="90">
        <f>-F11/F7</f>
        <v>0.19210518835825435</v>
      </c>
      <c r="G27" s="90">
        <f>-G11/G7</f>
        <v>0.19060976138273636</v>
      </c>
      <c r="H27" s="90">
        <f>AVERAGE(C27:G27)</f>
        <v>0.19382548798644136</v>
      </c>
      <c r="I27" s="90">
        <f t="shared" si="16"/>
        <v>0.19382548798644136</v>
      </c>
      <c r="J27" s="90">
        <f t="shared" si="16"/>
        <v>0.19382548798644136</v>
      </c>
      <c r="K27" s="90">
        <f t="shared" si="16"/>
        <v>0.19382548798644136</v>
      </c>
      <c r="L27" s="90">
        <f t="shared" si="16"/>
        <v>0.19382548798644136</v>
      </c>
      <c r="M27" s="90">
        <f t="shared" si="16"/>
        <v>0.19382548798644136</v>
      </c>
      <c r="N27" s="90">
        <f t="shared" si="16"/>
        <v>0.19382548798644136</v>
      </c>
      <c r="O27" s="90">
        <f t="shared" si="16"/>
        <v>0.19382548798644136</v>
      </c>
      <c r="P27" s="90">
        <f t="shared" si="16"/>
        <v>0.19382548798644136</v>
      </c>
      <c r="Q27" s="90">
        <f t="shared" si="16"/>
        <v>0.19382548798644136</v>
      </c>
    </row>
    <row r="28" spans="1:17">
      <c r="B28" s="32" t="s">
        <v>113</v>
      </c>
      <c r="C28" s="90" t="s">
        <v>119</v>
      </c>
      <c r="D28" s="90">
        <f>-D111/D109</f>
        <v>0.10587810730756253</v>
      </c>
      <c r="E28" s="90">
        <f>-E111/E109</f>
        <v>0.11477488902980341</v>
      </c>
      <c r="F28" s="90">
        <f>-F111/F109</f>
        <v>0.11119391332737157</v>
      </c>
      <c r="G28" s="90">
        <f>-G111/G109</f>
        <v>0.11807369133210174</v>
      </c>
      <c r="H28" s="90">
        <f>AVERAGE(D28:G28)</f>
        <v>0.11248015024920982</v>
      </c>
      <c r="I28" s="90">
        <f t="shared" si="16"/>
        <v>0.11248015024920982</v>
      </c>
      <c r="J28" s="90">
        <f t="shared" si="16"/>
        <v>0.11248015024920982</v>
      </c>
      <c r="K28" s="90">
        <f t="shared" si="16"/>
        <v>0.11248015024920982</v>
      </c>
      <c r="L28" s="90">
        <f t="shared" si="16"/>
        <v>0.11248015024920982</v>
      </c>
      <c r="M28" s="90">
        <f t="shared" si="16"/>
        <v>0.11248015024920982</v>
      </c>
      <c r="N28" s="90">
        <f t="shared" si="16"/>
        <v>0.11248015024920982</v>
      </c>
      <c r="O28" s="90">
        <f t="shared" si="16"/>
        <v>0.11248015024920982</v>
      </c>
      <c r="P28" s="90">
        <f t="shared" si="16"/>
        <v>0.11248015024920982</v>
      </c>
      <c r="Q28" s="90">
        <f t="shared" si="16"/>
        <v>0.11248015024920982</v>
      </c>
    </row>
    <row r="29" spans="1:17">
      <c r="B29" s="31" t="s">
        <v>114</v>
      </c>
      <c r="C29" s="90" t="s">
        <v>119</v>
      </c>
      <c r="D29" s="90">
        <f>-D118/D115</f>
        <v>6.8152506851523451E-2</v>
      </c>
      <c r="E29" s="90">
        <f>-E118/E115</f>
        <v>5.4714633161738462E-2</v>
      </c>
      <c r="F29" s="90">
        <f>-F118/F115</f>
        <v>6.7216798388346516E-2</v>
      </c>
      <c r="G29" s="90">
        <f>-G118/G115</f>
        <v>9.0460565899992781E-2</v>
      </c>
      <c r="H29" s="90">
        <f>AVERAGE(D29:G29)</f>
        <v>7.0136126075400304E-2</v>
      </c>
      <c r="I29" s="90">
        <f t="shared" si="16"/>
        <v>7.0136126075400304E-2</v>
      </c>
      <c r="J29" s="90">
        <f t="shared" si="16"/>
        <v>7.0136126075400304E-2</v>
      </c>
      <c r="K29" s="90">
        <f t="shared" si="16"/>
        <v>7.0136126075400304E-2</v>
      </c>
      <c r="L29" s="90">
        <f t="shared" si="16"/>
        <v>7.0136126075400304E-2</v>
      </c>
      <c r="M29" s="90">
        <f t="shared" si="16"/>
        <v>7.0136126075400304E-2</v>
      </c>
      <c r="N29" s="90">
        <f t="shared" si="16"/>
        <v>7.0136126075400304E-2</v>
      </c>
      <c r="O29" s="90">
        <f t="shared" si="16"/>
        <v>7.0136126075400304E-2</v>
      </c>
      <c r="P29" s="90">
        <f t="shared" si="16"/>
        <v>7.0136126075400304E-2</v>
      </c>
      <c r="Q29" s="90">
        <f t="shared" si="16"/>
        <v>7.0136126075400304E-2</v>
      </c>
    </row>
    <row r="30" spans="1:17">
      <c r="B30" s="31" t="s">
        <v>115</v>
      </c>
      <c r="C30" s="90">
        <f>C16/C7</f>
        <v>1.5679536171519202E-2</v>
      </c>
      <c r="D30" s="90">
        <f>D16/D7</f>
        <v>3.6616555883083698E-2</v>
      </c>
      <c r="E30" s="90">
        <f>E16/E7</f>
        <v>1.2409007667000411E-2</v>
      </c>
      <c r="F30" s="90">
        <f>F16/F7</f>
        <v>1.0676226002038715E-2</v>
      </c>
      <c r="G30" s="90">
        <f>G16/G7</f>
        <v>1.0126574347090763E-2</v>
      </c>
      <c r="H30" s="90">
        <f t="shared" ref="H30:H36" si="17">AVERAGE(C30:G30)</f>
        <v>1.7101580014146557E-2</v>
      </c>
      <c r="I30" s="90">
        <f t="shared" si="16"/>
        <v>1.7101580014146557E-2</v>
      </c>
      <c r="J30" s="90">
        <f t="shared" si="16"/>
        <v>1.7101580014146557E-2</v>
      </c>
      <c r="K30" s="90">
        <f t="shared" si="16"/>
        <v>1.7101580014146557E-2</v>
      </c>
      <c r="L30" s="90">
        <f t="shared" si="16"/>
        <v>1.7101580014146557E-2</v>
      </c>
      <c r="M30" s="90">
        <f t="shared" si="16"/>
        <v>1.7101580014146557E-2</v>
      </c>
      <c r="N30" s="90">
        <f t="shared" si="16"/>
        <v>1.7101580014146557E-2</v>
      </c>
      <c r="O30" s="90">
        <f t="shared" si="16"/>
        <v>1.7101580014146557E-2</v>
      </c>
      <c r="P30" s="90">
        <f t="shared" si="16"/>
        <v>1.7101580014146557E-2</v>
      </c>
      <c r="Q30" s="90">
        <f t="shared" si="16"/>
        <v>1.7101580014146557E-2</v>
      </c>
    </row>
    <row r="31" spans="1:17">
      <c r="B31" s="32" t="s">
        <v>116</v>
      </c>
      <c r="C31" s="90">
        <f>-C18/C17</f>
        <v>0.27057781969177164</v>
      </c>
      <c r="D31" s="90">
        <f>-D18/D17</f>
        <v>0.23623618012575978</v>
      </c>
      <c r="E31" s="90">
        <f>-E18/E17</f>
        <v>0.26746456973986327</v>
      </c>
      <c r="F31" s="90">
        <f>-F18/F17</f>
        <v>0.25583191244357728</v>
      </c>
      <c r="G31" s="90">
        <f>-G18/G17</f>
        <v>0.22858628427562799</v>
      </c>
      <c r="H31" s="90">
        <f t="shared" si="17"/>
        <v>0.25173935325531999</v>
      </c>
      <c r="I31" s="90">
        <f t="shared" si="16"/>
        <v>0.25173935325531999</v>
      </c>
      <c r="J31" s="90">
        <f t="shared" si="16"/>
        <v>0.25173935325531999</v>
      </c>
      <c r="K31" s="90">
        <f t="shared" si="16"/>
        <v>0.25173935325531999</v>
      </c>
      <c r="L31" s="90">
        <f t="shared" si="16"/>
        <v>0.25173935325531999</v>
      </c>
      <c r="M31" s="90">
        <f t="shared" si="16"/>
        <v>0.25173935325531999</v>
      </c>
      <c r="N31" s="90">
        <f t="shared" si="16"/>
        <v>0.25173935325531999</v>
      </c>
      <c r="O31" s="90">
        <f t="shared" si="16"/>
        <v>0.25173935325531999</v>
      </c>
      <c r="P31" s="90">
        <f t="shared" si="16"/>
        <v>0.25173935325531999</v>
      </c>
      <c r="Q31" s="90">
        <f t="shared" si="16"/>
        <v>0.25173935325531999</v>
      </c>
    </row>
    <row r="32" spans="1:17">
      <c r="B32" s="31" t="s">
        <v>117</v>
      </c>
      <c r="C32" s="90">
        <f>-C91/C19</f>
        <v>1.6391245267087946</v>
      </c>
      <c r="D32" s="90">
        <f>-D91/D19</f>
        <v>0.58681011259238847</v>
      </c>
      <c r="E32" s="90">
        <f>-E91/E19</f>
        <v>0.81175792561216664</v>
      </c>
      <c r="F32" s="90">
        <f>-F91/F19</f>
        <v>0.811594868357011</v>
      </c>
      <c r="G32" s="90">
        <f>-G91/G19</f>
        <v>0.71105356305256961</v>
      </c>
      <c r="H32" s="90">
        <f t="shared" si="17"/>
        <v>0.91206819926458604</v>
      </c>
      <c r="I32" s="90">
        <f t="shared" si="16"/>
        <v>0.91206819926458604</v>
      </c>
      <c r="J32" s="90">
        <f t="shared" si="16"/>
        <v>0.91206819926458604</v>
      </c>
      <c r="K32" s="90">
        <f t="shared" si="16"/>
        <v>0.91206819926458604</v>
      </c>
      <c r="L32" s="90">
        <f t="shared" si="16"/>
        <v>0.91206819926458604</v>
      </c>
      <c r="M32" s="90">
        <f t="shared" si="16"/>
        <v>0.91206819926458604</v>
      </c>
      <c r="N32" s="90">
        <f t="shared" si="16"/>
        <v>0.91206819926458604</v>
      </c>
      <c r="O32" s="90">
        <f t="shared" si="16"/>
        <v>0.91206819926458604</v>
      </c>
      <c r="P32" s="90">
        <f t="shared" si="16"/>
        <v>0.91206819926458604</v>
      </c>
      <c r="Q32" s="90">
        <f t="shared" si="16"/>
        <v>0.91206819926458604</v>
      </c>
    </row>
    <row r="33" spans="1:17">
      <c r="B33" s="31" t="s">
        <v>266</v>
      </c>
      <c r="C33" s="91">
        <f>C43/C7*365</f>
        <v>8.5704740857907264</v>
      </c>
      <c r="D33" s="91">
        <f>D43/D7*365</f>
        <v>7.3655858237912231</v>
      </c>
      <c r="E33" s="91">
        <f>E43/E7*365</f>
        <v>8.5612224026448374</v>
      </c>
      <c r="F33" s="91">
        <f>F43/F7*365</f>
        <v>9.1258798161031773</v>
      </c>
      <c r="G33" s="91">
        <f>G43/G7*365</f>
        <v>8.9424246237518652</v>
      </c>
      <c r="H33" s="91">
        <f t="shared" si="17"/>
        <v>8.5131173504163655</v>
      </c>
      <c r="I33" s="91">
        <f>H33</f>
        <v>8.5131173504163655</v>
      </c>
      <c r="J33" s="91">
        <f t="shared" ref="J33:Q33" si="18">I33</f>
        <v>8.5131173504163655</v>
      </c>
      <c r="K33" s="91">
        <f t="shared" si="18"/>
        <v>8.5131173504163655</v>
      </c>
      <c r="L33" s="91">
        <f t="shared" si="18"/>
        <v>8.5131173504163655</v>
      </c>
      <c r="M33" s="91">
        <f t="shared" si="18"/>
        <v>8.5131173504163655</v>
      </c>
      <c r="N33" s="91">
        <f t="shared" si="18"/>
        <v>8.5131173504163655</v>
      </c>
      <c r="O33" s="91">
        <f t="shared" si="18"/>
        <v>8.5131173504163655</v>
      </c>
      <c r="P33" s="91">
        <f t="shared" si="18"/>
        <v>8.5131173504163655</v>
      </c>
      <c r="Q33" s="91">
        <f t="shared" si="18"/>
        <v>8.5131173504163655</v>
      </c>
    </row>
    <row r="34" spans="1:17">
      <c r="B34" s="31" t="s">
        <v>481</v>
      </c>
      <c r="C34" s="91">
        <f>-C44/C8*365</f>
        <v>56.976798739769194</v>
      </c>
      <c r="D34" s="91">
        <f>-D44/D8*365</f>
        <v>45.409892298228598</v>
      </c>
      <c r="E34" s="91">
        <f>-E44/E8*365</f>
        <v>45.421822307767677</v>
      </c>
      <c r="F34" s="91">
        <f>-F44/F8*365</f>
        <v>42.561676906464974</v>
      </c>
      <c r="G34" s="91">
        <f>-G44/G8*365</f>
        <v>44.127346203318467</v>
      </c>
      <c r="H34" s="91">
        <f t="shared" si="17"/>
        <v>46.899507291109785</v>
      </c>
      <c r="I34" s="91">
        <f t="shared" si="16"/>
        <v>46.899507291109785</v>
      </c>
      <c r="J34" s="91">
        <f t="shared" si="16"/>
        <v>46.899507291109785</v>
      </c>
      <c r="K34" s="91">
        <f t="shared" si="16"/>
        <v>46.899507291109785</v>
      </c>
      <c r="L34" s="91">
        <f t="shared" si="16"/>
        <v>46.899507291109785</v>
      </c>
      <c r="M34" s="91">
        <f t="shared" si="16"/>
        <v>46.899507291109785</v>
      </c>
      <c r="N34" s="91">
        <f t="shared" si="16"/>
        <v>46.899507291109785</v>
      </c>
      <c r="O34" s="91">
        <f t="shared" si="16"/>
        <v>46.899507291109785</v>
      </c>
      <c r="P34" s="91">
        <f t="shared" si="16"/>
        <v>46.899507291109785</v>
      </c>
      <c r="Q34" s="91">
        <f t="shared" si="16"/>
        <v>46.899507291109785</v>
      </c>
    </row>
    <row r="35" spans="1:17">
      <c r="B35" s="31" t="s">
        <v>270</v>
      </c>
      <c r="C35" s="91">
        <f>-C56/C8*365</f>
        <v>55.115195826626952</v>
      </c>
      <c r="D35" s="91">
        <f>-D56/D8*365</f>
        <v>55.134929571590924</v>
      </c>
      <c r="E35" s="91">
        <f>-E56/E8*365</f>
        <v>62.581997739155909</v>
      </c>
      <c r="F35" s="91">
        <f>-F56/F8*365</f>
        <v>60.313177512365549</v>
      </c>
      <c r="G35" s="91">
        <f>-G56/G8*365</f>
        <v>62.175254740911612</v>
      </c>
      <c r="H35" s="91">
        <f t="shared" si="17"/>
        <v>59.064111078130189</v>
      </c>
      <c r="I35" s="91">
        <f t="shared" si="16"/>
        <v>59.064111078130189</v>
      </c>
      <c r="J35" s="91">
        <f t="shared" si="16"/>
        <v>59.064111078130189</v>
      </c>
      <c r="K35" s="91">
        <f t="shared" si="16"/>
        <v>59.064111078130189</v>
      </c>
      <c r="L35" s="91">
        <f t="shared" si="16"/>
        <v>59.064111078130189</v>
      </c>
      <c r="M35" s="91">
        <f t="shared" si="16"/>
        <v>59.064111078130189</v>
      </c>
      <c r="N35" s="91">
        <f t="shared" si="16"/>
        <v>59.064111078130189</v>
      </c>
      <c r="O35" s="91">
        <f t="shared" si="16"/>
        <v>59.064111078130189</v>
      </c>
      <c r="P35" s="91">
        <f t="shared" si="16"/>
        <v>59.064111078130189</v>
      </c>
      <c r="Q35" s="91">
        <f t="shared" si="16"/>
        <v>59.064111078130189</v>
      </c>
    </row>
    <row r="36" spans="1:17">
      <c r="B36" s="33" t="s">
        <v>118</v>
      </c>
      <c r="C36" s="92">
        <f>C7/C48</f>
        <v>6.625295264519516</v>
      </c>
      <c r="D36" s="92">
        <f>D7/D48</f>
        <v>6.2267650182212675</v>
      </c>
      <c r="E36" s="92">
        <f>E7/E48</f>
        <v>5.9508545188718083</v>
      </c>
      <c r="F36" s="92">
        <f>F7/F48</f>
        <v>6.2896929586253076</v>
      </c>
      <c r="G36" s="92">
        <f>G7/G48</f>
        <v>6.9898354696487486</v>
      </c>
      <c r="H36" s="92">
        <f t="shared" si="17"/>
        <v>6.4164886459773287</v>
      </c>
      <c r="I36" s="92">
        <f t="shared" si="16"/>
        <v>6.4164886459773287</v>
      </c>
      <c r="J36" s="92">
        <f t="shared" si="16"/>
        <v>6.4164886459773287</v>
      </c>
      <c r="K36" s="92">
        <f t="shared" si="16"/>
        <v>6.4164886459773287</v>
      </c>
      <c r="L36" s="92">
        <f t="shared" si="16"/>
        <v>6.4164886459773287</v>
      </c>
      <c r="M36" s="92">
        <f t="shared" si="16"/>
        <v>6.4164886459773287</v>
      </c>
      <c r="N36" s="92">
        <f t="shared" si="16"/>
        <v>6.4164886459773287</v>
      </c>
      <c r="O36" s="92">
        <f t="shared" si="16"/>
        <v>6.4164886459773287</v>
      </c>
      <c r="P36" s="92">
        <f t="shared" si="16"/>
        <v>6.4164886459773287</v>
      </c>
      <c r="Q36" s="92">
        <f t="shared" si="16"/>
        <v>6.4164886459773287</v>
      </c>
    </row>
    <row r="38" spans="1:17">
      <c r="A38" t="s">
        <v>7</v>
      </c>
      <c r="B38" s="27" t="s">
        <v>83</v>
      </c>
      <c r="C38" s="30"/>
      <c r="D38" s="30"/>
      <c r="E38" s="30"/>
      <c r="F38" s="30"/>
      <c r="G38" s="30"/>
      <c r="H38" s="30"/>
      <c r="I38" s="30"/>
      <c r="J38" s="30"/>
      <c r="K38" s="30"/>
      <c r="L38" s="30"/>
      <c r="M38" s="30"/>
      <c r="N38" s="30"/>
      <c r="O38" s="30"/>
      <c r="P38" s="30"/>
      <c r="Q38" s="30"/>
    </row>
    <row r="40" spans="1:17">
      <c r="B40" s="34" t="s">
        <v>121</v>
      </c>
    </row>
    <row r="41" spans="1:17">
      <c r="B41" s="35" t="s">
        <v>122</v>
      </c>
      <c r="C41" s="58">
        <f>'Data Sheet'!C62</f>
        <v>117.99</v>
      </c>
      <c r="D41" s="58">
        <f>'Data Sheet'!D62</f>
        <v>102.38</v>
      </c>
      <c r="E41" s="58">
        <f>'Data Sheet'!E62</f>
        <v>322.8</v>
      </c>
      <c r="F41" s="58">
        <f>'Data Sheet'!F62</f>
        <v>132.78</v>
      </c>
      <c r="G41" s="58">
        <f>'Data Sheet'!G62</f>
        <v>220</v>
      </c>
      <c r="H41" s="95">
        <f>H97</f>
        <v>368.95022291579699</v>
      </c>
      <c r="I41" s="95">
        <f t="shared" ref="I41:Q41" si="19">I97</f>
        <v>671.17251662192712</v>
      </c>
      <c r="J41" s="95">
        <f t="shared" si="19"/>
        <v>977.81984047603464</v>
      </c>
      <c r="K41" s="95">
        <f t="shared" si="19"/>
        <v>1291.6685181516814</v>
      </c>
      <c r="L41" s="95">
        <f t="shared" si="19"/>
        <v>1615.3128713784117</v>
      </c>
      <c r="M41" s="95">
        <f t="shared" si="19"/>
        <v>1951.1812876853405</v>
      </c>
      <c r="N41" s="95">
        <f t="shared" si="19"/>
        <v>2301.5500161405535</v>
      </c>
      <c r="O41" s="95">
        <f t="shared" si="19"/>
        <v>2668.554989461968</v>
      </c>
      <c r="P41" s="95">
        <f t="shared" si="19"/>
        <v>3054.201939013431</v>
      </c>
      <c r="Q41" s="95">
        <f t="shared" si="19"/>
        <v>3460.3750403175864</v>
      </c>
    </row>
    <row r="42" spans="1:17">
      <c r="B42" s="35" t="s">
        <v>123</v>
      </c>
      <c r="C42" s="58">
        <f>'Data Sheet'!C63</f>
        <v>66.91</v>
      </c>
      <c r="D42" s="58">
        <f>'Data Sheet'!D63</f>
        <v>95.6</v>
      </c>
      <c r="E42" s="58">
        <f>'Data Sheet'!E63</f>
        <v>123.55</v>
      </c>
      <c r="F42" s="58">
        <f>'Data Sheet'!F63</f>
        <v>179.7</v>
      </c>
      <c r="G42" s="58">
        <f>'Data Sheet'!G63</f>
        <v>132.44</v>
      </c>
      <c r="H42" s="95">
        <f>G42</f>
        <v>132.44</v>
      </c>
      <c r="I42" s="95">
        <f t="shared" ref="I42:Q42" si="20">H42</f>
        <v>132.44</v>
      </c>
      <c r="J42" s="95">
        <f t="shared" si="20"/>
        <v>132.44</v>
      </c>
      <c r="K42" s="95">
        <f t="shared" si="20"/>
        <v>132.44</v>
      </c>
      <c r="L42" s="95">
        <f t="shared" si="20"/>
        <v>132.44</v>
      </c>
      <c r="M42" s="95">
        <f t="shared" si="20"/>
        <v>132.44</v>
      </c>
      <c r="N42" s="95">
        <f t="shared" si="20"/>
        <v>132.44</v>
      </c>
      <c r="O42" s="95">
        <f t="shared" si="20"/>
        <v>132.44</v>
      </c>
      <c r="P42" s="95">
        <f t="shared" si="20"/>
        <v>132.44</v>
      </c>
      <c r="Q42" s="95">
        <f t="shared" si="20"/>
        <v>132.44</v>
      </c>
    </row>
    <row r="43" spans="1:17">
      <c r="B43" s="35" t="s">
        <v>124</v>
      </c>
      <c r="C43" s="58">
        <f>'Data Sheet'!C61</f>
        <v>331.93</v>
      </c>
      <c r="D43" s="58">
        <f>'Data Sheet'!D61</f>
        <v>328.94</v>
      </c>
      <c r="E43" s="58">
        <f>'Data Sheet'!E61</f>
        <v>393.33</v>
      </c>
      <c r="F43" s="58">
        <f>'Data Sheet'!F61</f>
        <v>448.61</v>
      </c>
      <c r="G43" s="58">
        <f>'Data Sheet'!G61</f>
        <v>469.21</v>
      </c>
      <c r="H43" s="95">
        <f>H7*H33/365</f>
        <v>482.33037326257238</v>
      </c>
      <c r="I43" s="95">
        <f t="shared" ref="I43:Q43" si="21">I7*I33/365</f>
        <v>519.66644857359029</v>
      </c>
      <c r="J43" s="95">
        <f t="shared" si="21"/>
        <v>558.68583763555762</v>
      </c>
      <c r="K43" s="95">
        <f t="shared" si="21"/>
        <v>599.37653975475564</v>
      </c>
      <c r="L43" s="95">
        <f t="shared" si="21"/>
        <v>641.72123345493264</v>
      </c>
      <c r="M43" s="95">
        <f t="shared" si="21"/>
        <v>685.69740310980001</v>
      </c>
      <c r="N43" s="95">
        <f t="shared" si="21"/>
        <v>731.277498400789</v>
      </c>
      <c r="O43" s="95">
        <f t="shared" si="21"/>
        <v>778.42912384488989</v>
      </c>
      <c r="P43" s="95">
        <f t="shared" si="21"/>
        <v>827.11525545115967</v>
      </c>
      <c r="Q43" s="95">
        <f t="shared" si="21"/>
        <v>877.29448143142815</v>
      </c>
    </row>
    <row r="44" spans="1:17">
      <c r="B44" s="35" t="s">
        <v>125</v>
      </c>
      <c r="C44" s="58">
        <f>'Data Sheet'!C58</f>
        <v>1367.49</v>
      </c>
      <c r="D44" s="58">
        <f>'Data Sheet'!D58</f>
        <v>1193.26</v>
      </c>
      <c r="E44" s="58">
        <f>'Data Sheet'!E58</f>
        <v>1181.22</v>
      </c>
      <c r="F44" s="58">
        <f>'Data Sheet'!F58</f>
        <v>1236.51</v>
      </c>
      <c r="G44" s="58">
        <f>'Data Sheet'!G58</f>
        <v>1345.93</v>
      </c>
      <c r="H44" s="95">
        <f>-H8*H34/365</f>
        <v>1565.8584184245206</v>
      </c>
      <c r="I44" s="95">
        <f t="shared" ref="I44:Q44" si="22">-I8*I34/365</f>
        <v>1687.0678862032853</v>
      </c>
      <c r="J44" s="95">
        <f t="shared" si="22"/>
        <v>1813.7421373626705</v>
      </c>
      <c r="K44" s="95">
        <f t="shared" si="22"/>
        <v>1945.8422123257392</v>
      </c>
      <c r="L44" s="95">
        <f t="shared" si="22"/>
        <v>2083.3118778944349</v>
      </c>
      <c r="M44" s="95">
        <f t="shared" si="22"/>
        <v>2226.0780383548554</v>
      </c>
      <c r="N44" s="95">
        <f t="shared" si="22"/>
        <v>2374.0512531478894</v>
      </c>
      <c r="O44" s="95">
        <f t="shared" si="22"/>
        <v>2527.1263521606816</v>
      </c>
      <c r="P44" s="95">
        <f t="shared" si="22"/>
        <v>2685.1831390897942</v>
      </c>
      <c r="Q44" s="95">
        <f t="shared" si="22"/>
        <v>2848.087172894971</v>
      </c>
    </row>
    <row r="45" spans="1:17">
      <c r="B45" s="35" t="s">
        <v>126</v>
      </c>
      <c r="C45" s="58">
        <f>'Data Sheet'!C66</f>
        <v>138.22</v>
      </c>
      <c r="D45" s="58">
        <f>'Data Sheet'!D66</f>
        <v>180.74</v>
      </c>
      <c r="E45" s="58">
        <f>'Data Sheet'!E66</f>
        <v>133.71</v>
      </c>
      <c r="F45" s="58">
        <f>'Data Sheet'!F66</f>
        <v>123.98</v>
      </c>
      <c r="G45" s="58">
        <f>'Data Sheet'!G66</f>
        <v>142.03</v>
      </c>
      <c r="H45" s="95">
        <f>G45</f>
        <v>142.03</v>
      </c>
      <c r="I45" s="95">
        <f t="shared" ref="I45:Q45" si="23">H45</f>
        <v>142.03</v>
      </c>
      <c r="J45" s="95">
        <f t="shared" si="23"/>
        <v>142.03</v>
      </c>
      <c r="K45" s="95">
        <f t="shared" si="23"/>
        <v>142.03</v>
      </c>
      <c r="L45" s="95">
        <f t="shared" si="23"/>
        <v>142.03</v>
      </c>
      <c r="M45" s="95">
        <f t="shared" si="23"/>
        <v>142.03</v>
      </c>
      <c r="N45" s="95">
        <f t="shared" si="23"/>
        <v>142.03</v>
      </c>
      <c r="O45" s="95">
        <f t="shared" si="23"/>
        <v>142.03</v>
      </c>
      <c r="P45" s="95">
        <f t="shared" si="23"/>
        <v>142.03</v>
      </c>
      <c r="Q45" s="95">
        <f t="shared" si="23"/>
        <v>142.03</v>
      </c>
    </row>
    <row r="46" spans="1:17">
      <c r="C46" s="58"/>
      <c r="D46" s="58"/>
      <c r="E46" s="58"/>
      <c r="F46" s="58"/>
      <c r="G46" s="58"/>
      <c r="J46" s="39"/>
    </row>
    <row r="47" spans="1:17">
      <c r="B47" s="37" t="s">
        <v>127</v>
      </c>
      <c r="C47" s="58"/>
      <c r="D47" s="58"/>
      <c r="E47" s="58"/>
      <c r="F47" s="58"/>
      <c r="G47" s="58"/>
      <c r="J47" s="42"/>
    </row>
    <row r="48" spans="1:17">
      <c r="B48" s="38" t="s">
        <v>128</v>
      </c>
      <c r="C48" s="58">
        <f>SUM('Data Sheet'!C43:C45)</f>
        <v>2133.6799999999998</v>
      </c>
      <c r="D48" s="58">
        <f>SUM('Data Sheet'!D43:D45)</f>
        <v>2617.8200000000002</v>
      </c>
      <c r="E48" s="58">
        <f>SUM('Data Sheet'!E43:E45)</f>
        <v>2817.96</v>
      </c>
      <c r="F48" s="58">
        <f>SUM('Data Sheet'!F43:F45)</f>
        <v>2852.71</v>
      </c>
      <c r="G48" s="58">
        <f>SUM('Data Sheet'!G43:G45)</f>
        <v>2739.92</v>
      </c>
      <c r="H48" s="95">
        <f>H112</f>
        <v>2669.9213024463811</v>
      </c>
      <c r="I48" s="95">
        <f t="shared" ref="I48:Q48" si="24">I112</f>
        <v>2619.0880054598838</v>
      </c>
      <c r="J48" s="95">
        <f t="shared" si="24"/>
        <v>2585.220356723481</v>
      </c>
      <c r="K48" s="95">
        <f t="shared" si="24"/>
        <v>2566.329868874167</v>
      </c>
      <c r="L48" s="95">
        <f t="shared" si="24"/>
        <v>2560.6161664093297</v>
      </c>
      <c r="M48" s="95">
        <f t="shared" si="24"/>
        <v>2566.4466729954343</v>
      </c>
      <c r="N48" s="95">
        <f t="shared" si="24"/>
        <v>2582.338802889853</v>
      </c>
      <c r="O48" s="95">
        <f t="shared" si="24"/>
        <v>2606.9443564026815</v>
      </c>
      <c r="P48" s="95">
        <f t="shared" si="24"/>
        <v>2639.0358518332619</v>
      </c>
      <c r="Q48" s="95">
        <f t="shared" si="24"/>
        <v>2677.4945555228287</v>
      </c>
    </row>
    <row r="49" spans="2:17">
      <c r="B49" s="38" t="s">
        <v>129</v>
      </c>
      <c r="C49" s="58">
        <f>SUM('Data Sheet'!C46:C47)</f>
        <v>155.21</v>
      </c>
      <c r="D49" s="58">
        <f>SUM('Data Sheet'!D46:D47)</f>
        <v>142.4</v>
      </c>
      <c r="E49" s="58">
        <f>SUM('Data Sheet'!E46:E47)</f>
        <v>140.72</v>
      </c>
      <c r="F49" s="58">
        <f>SUM('Data Sheet'!F46:F47)</f>
        <v>140.29</v>
      </c>
      <c r="G49" s="58">
        <f>SUM('Data Sheet'!G46:G47)</f>
        <v>149.04</v>
      </c>
      <c r="H49" s="95">
        <f>G49</f>
        <v>149.04</v>
      </c>
      <c r="I49" s="95">
        <f t="shared" ref="I49:Q49" si="25">H49</f>
        <v>149.04</v>
      </c>
      <c r="J49" s="95">
        <f t="shared" si="25"/>
        <v>149.04</v>
      </c>
      <c r="K49" s="95">
        <f t="shared" si="25"/>
        <v>149.04</v>
      </c>
      <c r="L49" s="95">
        <f t="shared" si="25"/>
        <v>149.04</v>
      </c>
      <c r="M49" s="95">
        <f t="shared" si="25"/>
        <v>149.04</v>
      </c>
      <c r="N49" s="95">
        <f t="shared" si="25"/>
        <v>149.04</v>
      </c>
      <c r="O49" s="95">
        <f t="shared" si="25"/>
        <v>149.04</v>
      </c>
      <c r="P49" s="95">
        <f t="shared" si="25"/>
        <v>149.04</v>
      </c>
      <c r="Q49" s="95">
        <f t="shared" si="25"/>
        <v>149.04</v>
      </c>
    </row>
    <row r="50" spans="2:17">
      <c r="B50" s="38" t="s">
        <v>130</v>
      </c>
      <c r="C50" s="58">
        <f>SUM('Data Sheet'!C50:C52,'Data Sheet'!C60,'Data Sheet'!C64,'Data Sheet'!C65,'Data Sheet'!C67)</f>
        <v>3018.1099999999997</v>
      </c>
      <c r="D50" s="58">
        <f>SUM('Data Sheet'!D50:D52,'Data Sheet'!D60,'Data Sheet'!D64,'Data Sheet'!D65,'Data Sheet'!D67)</f>
        <v>4046.97</v>
      </c>
      <c r="E50" s="58">
        <f>SUM('Data Sheet'!E50:E52,'Data Sheet'!E60,'Data Sheet'!E64,'Data Sheet'!E65,'Data Sheet'!E67)</f>
        <v>3295.4</v>
      </c>
      <c r="F50" s="58">
        <f>SUM('Data Sheet'!F50:F52,'Data Sheet'!F60,'Data Sheet'!F64,'Data Sheet'!F65,'Data Sheet'!F67)</f>
        <v>3115.46</v>
      </c>
      <c r="G50" s="58">
        <f>SUM('Data Sheet'!G50:G52,'Data Sheet'!G60,'Data Sheet'!G64,'Data Sheet'!G65,'Data Sheet'!G67)</f>
        <v>3941.75</v>
      </c>
      <c r="H50" s="95">
        <f>G50</f>
        <v>3941.75</v>
      </c>
      <c r="I50" s="95">
        <f t="shared" ref="I50:Q50" si="26">H50</f>
        <v>3941.75</v>
      </c>
      <c r="J50" s="95">
        <f t="shared" si="26"/>
        <v>3941.75</v>
      </c>
      <c r="K50" s="95">
        <f t="shared" si="26"/>
        <v>3941.75</v>
      </c>
      <c r="L50" s="95">
        <f t="shared" si="26"/>
        <v>3941.75</v>
      </c>
      <c r="M50" s="95">
        <f t="shared" si="26"/>
        <v>3941.75</v>
      </c>
      <c r="N50" s="95">
        <f t="shared" si="26"/>
        <v>3941.75</v>
      </c>
      <c r="O50" s="95">
        <f t="shared" si="26"/>
        <v>3941.75</v>
      </c>
      <c r="P50" s="95">
        <f t="shared" si="26"/>
        <v>3941.75</v>
      </c>
      <c r="Q50" s="95">
        <f t="shared" si="26"/>
        <v>3941.75</v>
      </c>
    </row>
    <row r="51" spans="2:17" s="40" customFormat="1">
      <c r="B51" s="40" t="s">
        <v>132</v>
      </c>
      <c r="C51" s="58">
        <f>'Data Sheet'!C48</f>
        <v>2.09</v>
      </c>
      <c r="D51" s="58">
        <f>'Data Sheet'!D48</f>
        <v>495.16</v>
      </c>
      <c r="E51" s="58">
        <f>'Data Sheet'!E48</f>
        <v>494.36</v>
      </c>
      <c r="F51" s="58">
        <f>'Data Sheet'!F48</f>
        <v>483.62</v>
      </c>
      <c r="G51" s="58">
        <f>'Data Sheet'!G48</f>
        <v>453.53</v>
      </c>
      <c r="H51" s="95">
        <f>G51</f>
        <v>453.53</v>
      </c>
      <c r="I51" s="95">
        <f t="shared" ref="I51:Q51" si="27">H51</f>
        <v>453.53</v>
      </c>
      <c r="J51" s="95">
        <f t="shared" si="27"/>
        <v>453.53</v>
      </c>
      <c r="K51" s="95">
        <f t="shared" si="27"/>
        <v>453.53</v>
      </c>
      <c r="L51" s="95">
        <f t="shared" si="27"/>
        <v>453.53</v>
      </c>
      <c r="M51" s="95">
        <f t="shared" si="27"/>
        <v>453.53</v>
      </c>
      <c r="N51" s="95">
        <f t="shared" si="27"/>
        <v>453.53</v>
      </c>
      <c r="O51" s="95">
        <f t="shared" si="27"/>
        <v>453.53</v>
      </c>
      <c r="P51" s="95">
        <f t="shared" si="27"/>
        <v>453.53</v>
      </c>
      <c r="Q51" s="95">
        <f t="shared" si="27"/>
        <v>453.53</v>
      </c>
    </row>
    <row r="52" spans="2:17">
      <c r="B52" s="38" t="s">
        <v>131</v>
      </c>
      <c r="C52" s="58">
        <f>SUM('Data Sheet'!C53:C55)</f>
        <v>195.78</v>
      </c>
      <c r="D52" s="58">
        <f>SUM('Data Sheet'!D53:D55)</f>
        <v>149.44999999999999</v>
      </c>
      <c r="E52" s="58">
        <f>SUM('Data Sheet'!E53:E55)</f>
        <v>170.51000000000002</v>
      </c>
      <c r="F52" s="58">
        <f>SUM('Data Sheet'!F53:F55)</f>
        <v>124.88999999999999</v>
      </c>
      <c r="G52" s="58">
        <f>SUM('Data Sheet'!G53:G55)</f>
        <v>138.09</v>
      </c>
      <c r="H52" s="95">
        <f>G52</f>
        <v>138.09</v>
      </c>
      <c r="I52" s="95">
        <f t="shared" ref="I52:Q52" si="28">H52</f>
        <v>138.09</v>
      </c>
      <c r="J52" s="95">
        <f t="shared" si="28"/>
        <v>138.09</v>
      </c>
      <c r="K52" s="95">
        <f t="shared" si="28"/>
        <v>138.09</v>
      </c>
      <c r="L52" s="95">
        <f t="shared" si="28"/>
        <v>138.09</v>
      </c>
      <c r="M52" s="95">
        <f t="shared" si="28"/>
        <v>138.09</v>
      </c>
      <c r="N52" s="95">
        <f t="shared" si="28"/>
        <v>138.09</v>
      </c>
      <c r="O52" s="95">
        <f t="shared" si="28"/>
        <v>138.09</v>
      </c>
      <c r="P52" s="95">
        <f t="shared" si="28"/>
        <v>138.09</v>
      </c>
      <c r="Q52" s="95">
        <f t="shared" si="28"/>
        <v>138.09</v>
      </c>
    </row>
    <row r="53" spans="2:17" ht="15" thickBot="1">
      <c r="B53" s="45" t="s">
        <v>133</v>
      </c>
      <c r="C53" s="47">
        <f t="shared" ref="C53:Q53" si="29">SUM(C41:C45,C48:C52)</f>
        <v>7527.4099999999989</v>
      </c>
      <c r="D53" s="47">
        <f t="shared" si="29"/>
        <v>9352.7199999999993</v>
      </c>
      <c r="E53" s="47">
        <f t="shared" si="29"/>
        <v>9073.5600000000013</v>
      </c>
      <c r="F53" s="47">
        <f t="shared" si="29"/>
        <v>8838.5500000000011</v>
      </c>
      <c r="G53" s="47">
        <f t="shared" si="29"/>
        <v>9731.94</v>
      </c>
      <c r="H53" s="47">
        <f t="shared" si="29"/>
        <v>10043.940317049271</v>
      </c>
      <c r="I53" s="47">
        <f t="shared" si="29"/>
        <v>10453.874856858687</v>
      </c>
      <c r="J53" s="47">
        <f t="shared" si="29"/>
        <v>10892.348172197746</v>
      </c>
      <c r="K53" s="47">
        <f t="shared" si="29"/>
        <v>11360.097139106345</v>
      </c>
      <c r="L53" s="47">
        <f t="shared" si="29"/>
        <v>11857.84214913711</v>
      </c>
      <c r="M53" s="47">
        <f t="shared" si="29"/>
        <v>12386.283402145431</v>
      </c>
      <c r="N53" s="47">
        <f t="shared" si="29"/>
        <v>12946.097570579086</v>
      </c>
      <c r="O53" s="47">
        <f t="shared" si="29"/>
        <v>13537.934821870223</v>
      </c>
      <c r="P53" s="47">
        <f t="shared" si="29"/>
        <v>14162.416185387649</v>
      </c>
      <c r="Q53" s="47">
        <f t="shared" si="29"/>
        <v>14820.131250166816</v>
      </c>
    </row>
    <row r="54" spans="2:17">
      <c r="J54" s="43"/>
    </row>
    <row r="55" spans="2:17">
      <c r="B55" s="49" t="s">
        <v>134</v>
      </c>
      <c r="J55" s="44"/>
    </row>
    <row r="56" spans="2:17">
      <c r="B56" s="48" t="s">
        <v>135</v>
      </c>
      <c r="C56" s="58">
        <f>SUM('Data Sheet'!C91:C92)</f>
        <v>1322.81</v>
      </c>
      <c r="D56" s="58">
        <f>SUM('Data Sheet'!D91:D92)</f>
        <v>1448.8100000000002</v>
      </c>
      <c r="E56" s="58">
        <f>SUM('Data Sheet'!E91:E92)</f>
        <v>1627.48</v>
      </c>
      <c r="F56" s="58">
        <f>SUM('Data Sheet'!F91:F92)</f>
        <v>1752.23</v>
      </c>
      <c r="G56" s="58">
        <f>SUM('Data Sheet'!G91:G92)</f>
        <v>1896.41</v>
      </c>
      <c r="H56" s="95">
        <f>-H8*H35/365</f>
        <v>1972.0044175385758</v>
      </c>
      <c r="I56" s="95">
        <f t="shared" ref="I56:Q56" si="30">-I8*I35/365</f>
        <v>2124.6527049538063</v>
      </c>
      <c r="J56" s="95">
        <f t="shared" si="30"/>
        <v>2284.1832090756507</v>
      </c>
      <c r="K56" s="95">
        <f t="shared" si="30"/>
        <v>2450.5468651502856</v>
      </c>
      <c r="L56" s="95">
        <f t="shared" si="30"/>
        <v>2623.6728544410512</v>
      </c>
      <c r="M56" s="95">
        <f t="shared" si="30"/>
        <v>2803.4691219645451</v>
      </c>
      <c r="N56" s="95">
        <f t="shared" si="30"/>
        <v>2989.8230284325668</v>
      </c>
      <c r="O56" s="95">
        <f t="shared" si="30"/>
        <v>3182.6021251353836</v>
      </c>
      <c r="P56" s="95">
        <f t="shared" si="30"/>
        <v>3381.6550397403753</v>
      </c>
      <c r="Q56" s="95">
        <f t="shared" si="30"/>
        <v>3586.812460436101</v>
      </c>
    </row>
    <row r="57" spans="2:17">
      <c r="B57" s="48" t="s">
        <v>136</v>
      </c>
      <c r="C57" s="58">
        <f>SUM('Data Sheet'!C93:C96)</f>
        <v>1063.8799999999999</v>
      </c>
      <c r="D57" s="58">
        <f>SUM('Data Sheet'!D93:D96)</f>
        <v>1254.3800000000001</v>
      </c>
      <c r="E57" s="58">
        <f>SUM('Data Sheet'!E93:E96)</f>
        <v>1316.82</v>
      </c>
      <c r="F57" s="58">
        <f>SUM('Data Sheet'!F93:F96)</f>
        <v>1351.9099999999999</v>
      </c>
      <c r="G57" s="58">
        <f>SUM('Data Sheet'!G93:G96)</f>
        <v>1208.72</v>
      </c>
      <c r="H57" s="95">
        <f>G57</f>
        <v>1208.72</v>
      </c>
      <c r="I57" s="95">
        <f t="shared" ref="I57:Q57" si="31">H57</f>
        <v>1208.72</v>
      </c>
      <c r="J57" s="95">
        <f t="shared" si="31"/>
        <v>1208.72</v>
      </c>
      <c r="K57" s="95">
        <f t="shared" si="31"/>
        <v>1208.72</v>
      </c>
      <c r="L57" s="95">
        <f t="shared" si="31"/>
        <v>1208.72</v>
      </c>
      <c r="M57" s="95">
        <f t="shared" si="31"/>
        <v>1208.72</v>
      </c>
      <c r="N57" s="95">
        <f t="shared" si="31"/>
        <v>1208.72</v>
      </c>
      <c r="O57" s="95">
        <f t="shared" si="31"/>
        <v>1208.72</v>
      </c>
      <c r="P57" s="95">
        <f t="shared" si="31"/>
        <v>1208.72</v>
      </c>
      <c r="Q57" s="95">
        <f t="shared" si="31"/>
        <v>1208.72</v>
      </c>
    </row>
    <row r="58" spans="2:17">
      <c r="C58" s="58"/>
      <c r="D58" s="58"/>
      <c r="E58" s="58"/>
      <c r="F58" s="58"/>
      <c r="G58" s="58"/>
      <c r="J58" s="42"/>
    </row>
    <row r="59" spans="2:17">
      <c r="B59" s="52" t="s">
        <v>137</v>
      </c>
      <c r="C59" s="58"/>
      <c r="D59" s="58"/>
      <c r="E59" s="58"/>
      <c r="F59" s="58"/>
      <c r="G59" s="58"/>
      <c r="J59" s="42"/>
    </row>
    <row r="60" spans="2:17">
      <c r="B60" s="50" t="s">
        <v>138</v>
      </c>
      <c r="C60" s="58">
        <f>SUM('Data Sheet'!C80:C81,'Data Sheet'!C88:C89)</f>
        <v>2481.2000000000003</v>
      </c>
      <c r="D60" s="58">
        <f>SUM('Data Sheet'!D80:D81,'Data Sheet'!D88:D89)</f>
        <v>2997.37</v>
      </c>
      <c r="E60" s="58">
        <f>SUM('Data Sheet'!E80:E81,'Data Sheet'!E88:E89)</f>
        <v>2064.96</v>
      </c>
      <c r="F60" s="58">
        <f>SUM('Data Sheet'!F80:F81,'Data Sheet'!F88:F89)</f>
        <v>1246.51</v>
      </c>
      <c r="G60" s="58">
        <f>SUM('Data Sheet'!G80:G81,'Data Sheet'!G88:G89)</f>
        <v>1380.2800000000002</v>
      </c>
      <c r="H60" s="95">
        <f>H117</f>
        <v>1380.2800000000002</v>
      </c>
      <c r="I60" s="95">
        <f t="shared" ref="I60:Q60" si="32">I117</f>
        <v>1380.2800000000002</v>
      </c>
      <c r="J60" s="95">
        <f t="shared" si="32"/>
        <v>1380.2800000000002</v>
      </c>
      <c r="K60" s="95">
        <f t="shared" si="32"/>
        <v>1380.2800000000002</v>
      </c>
      <c r="L60" s="95">
        <f t="shared" si="32"/>
        <v>1380.2800000000002</v>
      </c>
      <c r="M60" s="95">
        <f t="shared" si="32"/>
        <v>1380.2800000000002</v>
      </c>
      <c r="N60" s="95">
        <f t="shared" si="32"/>
        <v>1380.2800000000002</v>
      </c>
      <c r="O60" s="95">
        <f t="shared" si="32"/>
        <v>1380.2800000000002</v>
      </c>
      <c r="P60" s="95">
        <f t="shared" si="32"/>
        <v>1380.2800000000002</v>
      </c>
      <c r="Q60" s="95">
        <f t="shared" si="32"/>
        <v>1380.2800000000002</v>
      </c>
    </row>
    <row r="61" spans="2:17">
      <c r="B61" s="50" t="s">
        <v>139</v>
      </c>
      <c r="C61" s="58">
        <f>SUM('Data Sheet'!C82:C84)</f>
        <v>73.92</v>
      </c>
      <c r="D61" s="58">
        <f>SUM('Data Sheet'!D82:D84)</f>
        <v>87.66</v>
      </c>
      <c r="E61" s="58">
        <f>SUM('Data Sheet'!E82:E84)</f>
        <v>98.28</v>
      </c>
      <c r="F61" s="58">
        <f>SUM('Data Sheet'!F82:F84)</f>
        <v>106.57999999999998</v>
      </c>
      <c r="G61" s="58">
        <f>SUM('Data Sheet'!G82:G84)</f>
        <v>110.65</v>
      </c>
      <c r="H61" s="95">
        <f>G61</f>
        <v>110.65</v>
      </c>
      <c r="I61" s="95">
        <f t="shared" ref="I61:Q61" si="33">H61</f>
        <v>110.65</v>
      </c>
      <c r="J61" s="95">
        <f t="shared" si="33"/>
        <v>110.65</v>
      </c>
      <c r="K61" s="95">
        <f t="shared" si="33"/>
        <v>110.65</v>
      </c>
      <c r="L61" s="95">
        <f t="shared" si="33"/>
        <v>110.65</v>
      </c>
      <c r="M61" s="95">
        <f t="shared" si="33"/>
        <v>110.65</v>
      </c>
      <c r="N61" s="95">
        <f t="shared" si="33"/>
        <v>110.65</v>
      </c>
      <c r="O61" s="95">
        <f t="shared" si="33"/>
        <v>110.65</v>
      </c>
      <c r="P61" s="95">
        <f t="shared" si="33"/>
        <v>110.65</v>
      </c>
      <c r="Q61" s="95">
        <f t="shared" si="33"/>
        <v>110.65</v>
      </c>
    </row>
    <row r="62" spans="2:17">
      <c r="B62" s="54" t="s">
        <v>140</v>
      </c>
      <c r="C62" s="55">
        <f t="shared" ref="C62:Q62" si="34">SUM(C56:C57,C60:C61)</f>
        <v>4941.8099999999995</v>
      </c>
      <c r="D62" s="55">
        <f t="shared" si="34"/>
        <v>5788.22</v>
      </c>
      <c r="E62" s="55">
        <f t="shared" si="34"/>
        <v>5107.54</v>
      </c>
      <c r="F62" s="55">
        <f t="shared" si="34"/>
        <v>4457.2299999999996</v>
      </c>
      <c r="G62" s="55">
        <f t="shared" si="34"/>
        <v>4596.0599999999995</v>
      </c>
      <c r="H62" s="96">
        <f t="shared" si="34"/>
        <v>4671.6544175385752</v>
      </c>
      <c r="I62" s="96">
        <f t="shared" si="34"/>
        <v>4824.3027049538068</v>
      </c>
      <c r="J62" s="96">
        <f t="shared" si="34"/>
        <v>4983.8332090756503</v>
      </c>
      <c r="K62" s="96">
        <f t="shared" si="34"/>
        <v>5150.1968651502848</v>
      </c>
      <c r="L62" s="96">
        <f t="shared" si="34"/>
        <v>5323.3228544410504</v>
      </c>
      <c r="M62" s="96">
        <f t="shared" si="34"/>
        <v>5503.1191219645443</v>
      </c>
      <c r="N62" s="96">
        <f t="shared" si="34"/>
        <v>5689.4730284325669</v>
      </c>
      <c r="O62" s="96">
        <f t="shared" si="34"/>
        <v>5882.2521251353828</v>
      </c>
      <c r="P62" s="96">
        <f t="shared" si="34"/>
        <v>6081.3050397403749</v>
      </c>
      <c r="Q62" s="96">
        <f t="shared" si="34"/>
        <v>6286.4624604361015</v>
      </c>
    </row>
    <row r="63" spans="2:17">
      <c r="J63" s="42"/>
    </row>
    <row r="64" spans="2:17">
      <c r="B64" s="52" t="s">
        <v>141</v>
      </c>
      <c r="J64" s="43"/>
    </row>
    <row r="65" spans="1:17">
      <c r="B65" t="s">
        <v>142</v>
      </c>
      <c r="C65" s="58">
        <f>'Data Sheet'!C72</f>
        <v>24.09</v>
      </c>
      <c r="D65" s="58">
        <f>'Data Sheet'!D72</f>
        <v>24.09</v>
      </c>
      <c r="E65" s="58">
        <f>'Data Sheet'!E72</f>
        <v>24.09</v>
      </c>
      <c r="F65" s="58">
        <f>'Data Sheet'!F72</f>
        <v>24.09</v>
      </c>
      <c r="G65" s="58">
        <f>'Data Sheet'!G72</f>
        <v>24.09</v>
      </c>
      <c r="H65" s="95">
        <f>G65</f>
        <v>24.09</v>
      </c>
      <c r="I65" s="95">
        <f t="shared" ref="I65:Q65" si="35">H65</f>
        <v>24.09</v>
      </c>
      <c r="J65" s="95">
        <f t="shared" si="35"/>
        <v>24.09</v>
      </c>
      <c r="K65" s="95">
        <f t="shared" si="35"/>
        <v>24.09</v>
      </c>
      <c r="L65" s="95">
        <f t="shared" si="35"/>
        <v>24.09</v>
      </c>
      <c r="M65" s="95">
        <f t="shared" si="35"/>
        <v>24.09</v>
      </c>
      <c r="N65" s="95">
        <f t="shared" si="35"/>
        <v>24.09</v>
      </c>
      <c r="O65" s="95">
        <f t="shared" si="35"/>
        <v>24.09</v>
      </c>
      <c r="P65" s="95">
        <f t="shared" si="35"/>
        <v>24.09</v>
      </c>
      <c r="Q65" s="95">
        <f t="shared" si="35"/>
        <v>24.09</v>
      </c>
    </row>
    <row r="66" spans="1:17">
      <c r="B66" s="53" t="s">
        <v>143</v>
      </c>
      <c r="C66" s="58">
        <f>'Data Sheet'!C73</f>
        <v>2534.0100000000002</v>
      </c>
      <c r="D66" s="58">
        <f>'Data Sheet'!D73</f>
        <v>3510.18</v>
      </c>
      <c r="E66" s="58">
        <f>'Data Sheet'!E73</f>
        <v>3917.43</v>
      </c>
      <c r="F66" s="58">
        <f>'Data Sheet'!F73</f>
        <v>4331.63</v>
      </c>
      <c r="G66" s="58">
        <f>'Data Sheet'!G73</f>
        <v>5082.47</v>
      </c>
      <c r="H66" s="95">
        <f>G66+H19+H91</f>
        <v>5318.8758995106964</v>
      </c>
      <c r="I66" s="95">
        <f t="shared" ref="I66:Q66" si="36">H66+I19+I91</f>
        <v>5576.1621519048813</v>
      </c>
      <c r="J66" s="95">
        <f t="shared" si="36"/>
        <v>5855.104963122094</v>
      </c>
      <c r="K66" s="95">
        <f t="shared" si="36"/>
        <v>6156.4902739560594</v>
      </c>
      <c r="L66" s="95">
        <f t="shared" si="36"/>
        <v>6481.1092946960598</v>
      </c>
      <c r="M66" s="95">
        <f t="shared" si="36"/>
        <v>6829.7542801808877</v>
      </c>
      <c r="N66" s="95">
        <f t="shared" si="36"/>
        <v>7203.214542146522</v>
      </c>
      <c r="O66" s="95">
        <f t="shared" si="36"/>
        <v>7602.272696734839</v>
      </c>
      <c r="P66" s="95">
        <f t="shared" si="36"/>
        <v>8027.7011456472728</v>
      </c>
      <c r="Q66" s="95">
        <f t="shared" si="36"/>
        <v>8480.258789730713</v>
      </c>
    </row>
    <row r="67" spans="1:17">
      <c r="B67" s="54" t="s">
        <v>141</v>
      </c>
      <c r="C67" s="55">
        <f t="shared" ref="C67:Q67" si="37">SUM(C65:C66)</f>
        <v>2558.1000000000004</v>
      </c>
      <c r="D67" s="55">
        <f t="shared" si="37"/>
        <v>3534.27</v>
      </c>
      <c r="E67" s="55">
        <f t="shared" si="37"/>
        <v>3941.52</v>
      </c>
      <c r="F67" s="55">
        <f t="shared" si="37"/>
        <v>4355.72</v>
      </c>
      <c r="G67" s="55">
        <f t="shared" si="37"/>
        <v>5106.5600000000004</v>
      </c>
      <c r="H67" s="96">
        <f t="shared" si="37"/>
        <v>5342.9658995106965</v>
      </c>
      <c r="I67" s="96">
        <f t="shared" si="37"/>
        <v>5600.2521519048814</v>
      </c>
      <c r="J67" s="96">
        <f t="shared" si="37"/>
        <v>5879.1949631220941</v>
      </c>
      <c r="K67" s="96">
        <f t="shared" si="37"/>
        <v>6180.5802739560595</v>
      </c>
      <c r="L67" s="96">
        <f t="shared" si="37"/>
        <v>6505.19929469606</v>
      </c>
      <c r="M67" s="96">
        <f t="shared" si="37"/>
        <v>6853.8442801808878</v>
      </c>
      <c r="N67" s="96">
        <f t="shared" si="37"/>
        <v>7227.3045421465222</v>
      </c>
      <c r="O67" s="96">
        <f t="shared" si="37"/>
        <v>7626.3626967348391</v>
      </c>
      <c r="P67" s="96">
        <f t="shared" si="37"/>
        <v>8051.791145647273</v>
      </c>
      <c r="Q67" s="96">
        <f t="shared" si="37"/>
        <v>8504.3487897307132</v>
      </c>
    </row>
    <row r="68" spans="1:17">
      <c r="B68" t="s">
        <v>144</v>
      </c>
      <c r="C68" s="58">
        <f>'Data Sheet'!C75</f>
        <v>27.5</v>
      </c>
      <c r="D68" s="58">
        <f>'Data Sheet'!D75</f>
        <v>30.23</v>
      </c>
      <c r="E68" s="58">
        <f>'Data Sheet'!E75</f>
        <v>24.5</v>
      </c>
      <c r="F68" s="58">
        <f>'Data Sheet'!F75</f>
        <v>25.6</v>
      </c>
      <c r="G68" s="58">
        <f>'Data Sheet'!G75</f>
        <v>29.32</v>
      </c>
      <c r="H68" s="95">
        <f>G68</f>
        <v>29.32</v>
      </c>
      <c r="I68" s="95">
        <f t="shared" ref="I68:Q68" si="38">H68</f>
        <v>29.32</v>
      </c>
      <c r="J68" s="95">
        <f t="shared" si="38"/>
        <v>29.32</v>
      </c>
      <c r="K68" s="95">
        <f t="shared" si="38"/>
        <v>29.32</v>
      </c>
      <c r="L68" s="95">
        <f t="shared" si="38"/>
        <v>29.32</v>
      </c>
      <c r="M68" s="95">
        <f t="shared" si="38"/>
        <v>29.32</v>
      </c>
      <c r="N68" s="95">
        <f t="shared" si="38"/>
        <v>29.32</v>
      </c>
      <c r="O68" s="95">
        <f t="shared" si="38"/>
        <v>29.32</v>
      </c>
      <c r="P68" s="95">
        <f t="shared" si="38"/>
        <v>29.32</v>
      </c>
      <c r="Q68" s="95">
        <f t="shared" si="38"/>
        <v>29.32</v>
      </c>
    </row>
    <row r="69" spans="1:17" ht="15" thickBot="1">
      <c r="B69" s="56" t="s">
        <v>145</v>
      </c>
      <c r="C69" s="47">
        <f>SUM(C62,C67,C68)</f>
        <v>7527.41</v>
      </c>
      <c r="D69" s="47">
        <f>SUM(D62,D67,D68)</f>
        <v>9352.7199999999993</v>
      </c>
      <c r="E69" s="47">
        <f>SUM(E62,E67,E68)</f>
        <v>9073.56</v>
      </c>
      <c r="F69" s="47">
        <f>SUM(F62,F67,F68)</f>
        <v>8838.5500000000011</v>
      </c>
      <c r="G69" s="47">
        <f>SUM(G62,G67,G68)</f>
        <v>9731.9399999999987</v>
      </c>
      <c r="H69" s="47">
        <f t="shared" ref="H69:Q69" si="39">SUM(H62,H67,H68)</f>
        <v>10043.940317049271</v>
      </c>
      <c r="I69" s="47">
        <f t="shared" si="39"/>
        <v>10453.874856858689</v>
      </c>
      <c r="J69" s="47">
        <f t="shared" si="39"/>
        <v>10892.348172197744</v>
      </c>
      <c r="K69" s="47">
        <f t="shared" si="39"/>
        <v>11360.097139106343</v>
      </c>
      <c r="L69" s="47">
        <f t="shared" si="39"/>
        <v>11857.84214913711</v>
      </c>
      <c r="M69" s="47">
        <f t="shared" si="39"/>
        <v>12386.283402145433</v>
      </c>
      <c r="N69" s="47">
        <f t="shared" si="39"/>
        <v>12946.097570579088</v>
      </c>
      <c r="O69" s="47">
        <f t="shared" si="39"/>
        <v>13537.934821870222</v>
      </c>
      <c r="P69" s="47">
        <f t="shared" si="39"/>
        <v>14162.416185387647</v>
      </c>
      <c r="Q69" s="47">
        <f t="shared" si="39"/>
        <v>14820.131250166814</v>
      </c>
    </row>
    <row r="71" spans="1:17">
      <c r="B71" t="s">
        <v>146</v>
      </c>
      <c r="C71" s="62" t="str">
        <f>IF(C53=C69,"Correct","Error")</f>
        <v>Correct</v>
      </c>
      <c r="D71" s="62" t="str">
        <f t="shared" ref="D71:Q71" si="40">IF(D53=D69,"Correct","Error")</f>
        <v>Correct</v>
      </c>
      <c r="E71" s="62" t="str">
        <f t="shared" si="40"/>
        <v>Correct</v>
      </c>
      <c r="F71" s="62" t="str">
        <f t="shared" si="40"/>
        <v>Correct</v>
      </c>
      <c r="G71" s="62" t="str">
        <f t="shared" si="40"/>
        <v>Correct</v>
      </c>
      <c r="H71" s="62" t="str">
        <f t="shared" si="40"/>
        <v>Correct</v>
      </c>
      <c r="I71" s="62" t="str">
        <f t="shared" si="40"/>
        <v>Correct</v>
      </c>
      <c r="J71" s="62" t="str">
        <f t="shared" si="40"/>
        <v>Correct</v>
      </c>
      <c r="K71" s="62" t="str">
        <f t="shared" si="40"/>
        <v>Correct</v>
      </c>
      <c r="L71" s="62" t="str">
        <f t="shared" si="40"/>
        <v>Correct</v>
      </c>
      <c r="M71" s="62" t="str">
        <f t="shared" si="40"/>
        <v>Correct</v>
      </c>
      <c r="N71" s="62" t="str">
        <f t="shared" si="40"/>
        <v>Correct</v>
      </c>
      <c r="O71" s="62" t="str">
        <f t="shared" si="40"/>
        <v>Correct</v>
      </c>
      <c r="P71" s="62" t="str">
        <f t="shared" si="40"/>
        <v>Correct</v>
      </c>
      <c r="Q71" s="62" t="str">
        <f t="shared" si="40"/>
        <v>Correct</v>
      </c>
    </row>
    <row r="73" spans="1:17">
      <c r="A73" s="50" t="s">
        <v>7</v>
      </c>
      <c r="B73" s="51" t="s">
        <v>147</v>
      </c>
      <c r="C73" s="57"/>
      <c r="D73" s="57"/>
      <c r="E73" s="57"/>
      <c r="F73" s="57"/>
      <c r="G73" s="57"/>
      <c r="H73" s="57"/>
      <c r="I73" s="57"/>
      <c r="J73" s="57"/>
      <c r="K73" s="57"/>
      <c r="L73" s="57"/>
      <c r="M73" s="57"/>
      <c r="N73" s="57"/>
      <c r="O73" s="57"/>
      <c r="P73" s="57"/>
      <c r="Q73" s="57"/>
    </row>
    <row r="74" spans="1:17">
      <c r="B74" s="67" t="s">
        <v>152</v>
      </c>
    </row>
    <row r="75" spans="1:17">
      <c r="B75" s="64" t="s">
        <v>148</v>
      </c>
      <c r="C75" s="74">
        <f>'Data Sheet'!C104+'Data Sheet'!C123</f>
        <v>1491.6200000000003</v>
      </c>
      <c r="D75" s="74">
        <f>'Data Sheet'!D104+'Data Sheet'!D123</f>
        <v>2301.61</v>
      </c>
      <c r="E75" s="74">
        <f>'Data Sheet'!E104+'Data Sheet'!E123</f>
        <v>2151.79</v>
      </c>
      <c r="F75" s="74">
        <f>'Data Sheet'!F104+'Data Sheet'!F123</f>
        <v>2248.1</v>
      </c>
      <c r="G75" s="74">
        <f>'Data Sheet'!G104+'Data Sheet'!G123</f>
        <v>2497.13</v>
      </c>
      <c r="H75" s="95">
        <f>H19</f>
        <v>2688.5142523356153</v>
      </c>
      <c r="I75" s="95">
        <f t="shared" ref="I75:Q75" si="41">I19</f>
        <v>2925.9750197582925</v>
      </c>
      <c r="J75" s="95">
        <f t="shared" si="41"/>
        <v>3172.2631503538714</v>
      </c>
      <c r="K75" s="95">
        <f t="shared" si="41"/>
        <v>3427.4893532640249</v>
      </c>
      <c r="L75" s="95">
        <f t="shared" si="41"/>
        <v>3691.7135555630871</v>
      </c>
      <c r="M75" s="95">
        <f t="shared" si="41"/>
        <v>3964.9476363380472</v>
      </c>
      <c r="N75" s="95">
        <f t="shared" si="41"/>
        <v>4247.1581252995384</v>
      </c>
      <c r="O75" s="95">
        <f t="shared" si="41"/>
        <v>4538.2688771390058</v>
      </c>
      <c r="P75" s="95">
        <f t="shared" si="41"/>
        <v>4838.1637286440218</v>
      </c>
      <c r="Q75" s="95">
        <f t="shared" si="41"/>
        <v>5146.6891420225029</v>
      </c>
    </row>
    <row r="76" spans="1:17">
      <c r="B76" s="64" t="s">
        <v>101</v>
      </c>
      <c r="C76" s="74">
        <f>'Data Sheet'!C107</f>
        <v>200.54</v>
      </c>
      <c r="D76" s="74">
        <f>'Data Sheet'!D107</f>
        <v>225.91</v>
      </c>
      <c r="E76" s="74">
        <f>'Data Sheet'!E107</f>
        <v>300.45999999999998</v>
      </c>
      <c r="F76" s="74">
        <f>'Data Sheet'!F107</f>
        <v>313.33999999999997</v>
      </c>
      <c r="G76" s="74">
        <f>'Data Sheet'!G107</f>
        <v>336.83</v>
      </c>
      <c r="H76" s="95">
        <f>-H111</f>
        <v>308.18661327081497</v>
      </c>
      <c r="I76" s="95">
        <f t="shared" ref="I76:Q76" si="42">-I111</f>
        <v>300.31314925273495</v>
      </c>
      <c r="J76" s="95">
        <f t="shared" si="42"/>
        <v>294.595412370031</v>
      </c>
      <c r="K76" s="95">
        <f t="shared" si="42"/>
        <v>290.78597415157293</v>
      </c>
      <c r="L76" s="95">
        <f t="shared" si="42"/>
        <v>288.66116924000124</v>
      </c>
      <c r="M76" s="95">
        <f t="shared" si="42"/>
        <v>288.01849112827705</v>
      </c>
      <c r="N76" s="95">
        <f t="shared" si="42"/>
        <v>288.67430738511109</v>
      </c>
      <c r="O76" s="95">
        <f t="shared" si="42"/>
        <v>290.46185654341531</v>
      </c>
      <c r="P76" s="95">
        <f t="shared" si="42"/>
        <v>293.22949289950321</v>
      </c>
      <c r="Q76" s="95">
        <f t="shared" si="42"/>
        <v>296.83914912725675</v>
      </c>
    </row>
    <row r="77" spans="1:17">
      <c r="B77" s="64" t="s">
        <v>149</v>
      </c>
      <c r="C77" s="74">
        <f>SUM('Data Sheet'!C108:C116)</f>
        <v>-65.390000000000015</v>
      </c>
      <c r="D77" s="74">
        <f>SUM('Data Sheet'!D108:D116)</f>
        <v>-406.96999999999991</v>
      </c>
      <c r="E77" s="74">
        <f>SUM('Data Sheet'!E108:E116)</f>
        <v>-40.370000000000005</v>
      </c>
      <c r="F77" s="74">
        <f>SUM('Data Sheet'!F108:F116)</f>
        <v>-76.589999999999975</v>
      </c>
      <c r="G77" s="74">
        <f>SUM('Data Sheet'!G108:G116)</f>
        <v>-101.11999999999999</v>
      </c>
      <c r="H77" s="95">
        <f>-H15-H16</f>
        <v>-256.85181543830942</v>
      </c>
      <c r="I77" s="95">
        <f t="shared" ref="I77:Q77" si="43">-I15-I16</f>
        <v>-284.22776203556106</v>
      </c>
      <c r="J77" s="95">
        <f t="shared" si="43"/>
        <v>-312.83796550015967</v>
      </c>
      <c r="K77" s="95">
        <f t="shared" si="43"/>
        <v>-342.67362655827606</v>
      </c>
      <c r="L77" s="95">
        <f t="shared" si="43"/>
        <v>-373.72204457641027</v>
      </c>
      <c r="M77" s="95">
        <f t="shared" si="43"/>
        <v>-405.96671041219128</v>
      </c>
      <c r="N77" s="95">
        <f t="shared" si="43"/>
        <v>-439.38742333365701</v>
      </c>
      <c r="O77" s="95">
        <f t="shared" si="43"/>
        <v>-473.96042998683345</v>
      </c>
      <c r="P77" s="95">
        <f t="shared" si="43"/>
        <v>-509.65858325487898</v>
      </c>
      <c r="Q77" s="95">
        <f t="shared" si="43"/>
        <v>-546.45151875449938</v>
      </c>
    </row>
    <row r="78" spans="1:17">
      <c r="B78" s="64" t="s">
        <v>150</v>
      </c>
      <c r="C78" s="74">
        <f>SUM('Data Sheet'!C118:C121)</f>
        <v>-327.25</v>
      </c>
      <c r="D78" s="74">
        <f>SUM('Data Sheet'!D118:D121)</f>
        <v>405.66</v>
      </c>
      <c r="E78" s="74">
        <f>SUM('Data Sheet'!E118:E121)</f>
        <v>161.1</v>
      </c>
      <c r="F78" s="74">
        <f>SUM('Data Sheet'!F118:F121)</f>
        <v>5.7699999999999818</v>
      </c>
      <c r="G78" s="74">
        <f>SUM('Data Sheet'!G118:G121)</f>
        <v>-121.24000000000001</v>
      </c>
      <c r="H78" s="95">
        <f>H106</f>
        <v>-157.45437414851716</v>
      </c>
      <c r="I78" s="95">
        <f t="shared" ref="I78:Q78" si="44">I106</f>
        <v>-5.8972556745521842</v>
      </c>
      <c r="J78" s="95">
        <f t="shared" si="44"/>
        <v>-6.163136099508165</v>
      </c>
      <c r="K78" s="95">
        <f t="shared" si="44"/>
        <v>-6.4271210076317402</v>
      </c>
      <c r="L78" s="95">
        <f t="shared" si="44"/>
        <v>-6.6883699781071755</v>
      </c>
      <c r="M78" s="95">
        <f t="shared" si="44"/>
        <v>-6.9460625917938614</v>
      </c>
      <c r="N78" s="95">
        <f t="shared" si="44"/>
        <v>-7.1994036160012911</v>
      </c>
      <c r="O78" s="95">
        <f t="shared" si="44"/>
        <v>-7.4476277540762794</v>
      </c>
      <c r="P78" s="95">
        <f t="shared" si="44"/>
        <v>-7.6900039303907306</v>
      </c>
      <c r="Q78" s="95">
        <f t="shared" si="44"/>
        <v>-7.9258390897196023</v>
      </c>
    </row>
    <row r="79" spans="1:17">
      <c r="B79" s="70" t="s">
        <v>151</v>
      </c>
      <c r="C79" s="71">
        <f>SUM(C75:C78)</f>
        <v>1299.5200000000002</v>
      </c>
      <c r="D79" s="71">
        <f>SUM(D75:D78)</f>
        <v>2526.21</v>
      </c>
      <c r="E79" s="71">
        <f>SUM(E75:E78)</f>
        <v>2572.98</v>
      </c>
      <c r="F79" s="71">
        <f>SUM(F75:F78)</f>
        <v>2490.62</v>
      </c>
      <c r="G79" s="71">
        <f>SUM(G75:G78)</f>
        <v>2611.6000000000004</v>
      </c>
      <c r="H79" s="96">
        <f t="shared" ref="H79:Q79" si="45">SUM(H75:H78)</f>
        <v>2582.3946760196036</v>
      </c>
      <c r="I79" s="96">
        <f t="shared" si="45"/>
        <v>2936.1631513009143</v>
      </c>
      <c r="J79" s="96">
        <f t="shared" si="45"/>
        <v>3147.8574611242348</v>
      </c>
      <c r="K79" s="96">
        <f t="shared" si="45"/>
        <v>3369.17457984969</v>
      </c>
      <c r="L79" s="96">
        <f t="shared" si="45"/>
        <v>3599.9643102485707</v>
      </c>
      <c r="M79" s="96">
        <f t="shared" si="45"/>
        <v>3840.0533544623386</v>
      </c>
      <c r="N79" s="96">
        <f t="shared" si="45"/>
        <v>4089.2456057349909</v>
      </c>
      <c r="O79" s="96">
        <f t="shared" si="45"/>
        <v>4347.322675941512</v>
      </c>
      <c r="P79" s="96">
        <f t="shared" si="45"/>
        <v>4614.0446343582553</v>
      </c>
      <c r="Q79" s="96">
        <f t="shared" si="45"/>
        <v>4889.150933305541</v>
      </c>
    </row>
    <row r="81" spans="2:17">
      <c r="B81" s="67" t="s">
        <v>153</v>
      </c>
    </row>
    <row r="82" spans="2:17">
      <c r="B82" s="64" t="s">
        <v>154</v>
      </c>
      <c r="C82" s="74">
        <f>'Data Sheet'!C126</f>
        <v>-550.17999999999995</v>
      </c>
      <c r="D82" s="74">
        <f>'Data Sheet'!D126</f>
        <v>-711.46</v>
      </c>
      <c r="E82" s="74">
        <f>'Data Sheet'!E126</f>
        <v>-552.87</v>
      </c>
      <c r="F82" s="74">
        <f>'Data Sheet'!F126</f>
        <v>-374.85</v>
      </c>
      <c r="G82" s="74">
        <f>'Data Sheet'!G126</f>
        <v>-205.57</v>
      </c>
      <c r="H82" s="95">
        <f>-H110</f>
        <v>-238.18791571719618</v>
      </c>
      <c r="I82" s="95">
        <f t="shared" ref="I82:Q82" si="46">-I110</f>
        <v>-249.47985226623771</v>
      </c>
      <c r="J82" s="95">
        <f t="shared" si="46"/>
        <v>-260.72776363362857</v>
      </c>
      <c r="K82" s="95">
        <f t="shared" si="46"/>
        <v>-271.89548630225926</v>
      </c>
      <c r="L82" s="95">
        <f t="shared" si="46"/>
        <v>-282.94746677516366</v>
      </c>
      <c r="M82" s="95">
        <f t="shared" si="46"/>
        <v>-293.84899771438194</v>
      </c>
      <c r="N82" s="95">
        <f t="shared" si="46"/>
        <v>-304.56643727953002</v>
      </c>
      <c r="O82" s="95">
        <f t="shared" si="46"/>
        <v>-315.06741005624355</v>
      </c>
      <c r="P82" s="95">
        <f t="shared" si="46"/>
        <v>-325.32098833008388</v>
      </c>
      <c r="Q82" s="95">
        <f t="shared" si="46"/>
        <v>-335.29785281682348</v>
      </c>
    </row>
    <row r="83" spans="2:17">
      <c r="B83" s="68" t="s">
        <v>155</v>
      </c>
      <c r="C83" s="74">
        <f>'Data Sheet'!C129</f>
        <v>3.16</v>
      </c>
      <c r="D83" s="74">
        <f>'Data Sheet'!D129</f>
        <v>78.430000000000007</v>
      </c>
      <c r="E83" s="74">
        <f>'Data Sheet'!E129</f>
        <v>64.52</v>
      </c>
      <c r="F83" s="74">
        <f>'Data Sheet'!F129</f>
        <v>4.58</v>
      </c>
      <c r="G83" s="74">
        <f>'Data Sheet'!G129</f>
        <v>2.12</v>
      </c>
      <c r="H83" s="94">
        <v>0</v>
      </c>
      <c r="I83" s="94">
        <v>0</v>
      </c>
      <c r="J83" s="94">
        <v>0</v>
      </c>
      <c r="K83" s="94">
        <v>0</v>
      </c>
      <c r="L83" s="94">
        <v>0</v>
      </c>
      <c r="M83" s="94">
        <v>0</v>
      </c>
      <c r="N83" s="94">
        <v>0</v>
      </c>
      <c r="O83" s="94">
        <v>0</v>
      </c>
      <c r="P83" s="94">
        <v>0</v>
      </c>
      <c r="Q83" s="94">
        <v>0</v>
      </c>
    </row>
    <row r="84" spans="2:17">
      <c r="B84" s="64" t="s">
        <v>156</v>
      </c>
      <c r="C84" s="74">
        <f>SUM('Data Sheet'!C128,'Data Sheet'!C130:C139)</f>
        <v>1251.1600000000001</v>
      </c>
      <c r="D84" s="74">
        <f>SUM('Data Sheet'!D128,'Data Sheet'!D130:D139)</f>
        <v>-1058.71</v>
      </c>
      <c r="E84" s="74">
        <f>SUM('Data Sheet'!E128,'Data Sheet'!E130:E139)</f>
        <v>802.24</v>
      </c>
      <c r="F84" s="74">
        <f>SUM('Data Sheet'!F128,'Data Sheet'!F130:F139)</f>
        <v>285.34000000000003</v>
      </c>
      <c r="G84" s="74">
        <f>SUM('Data Sheet'!G128,'Data Sheet'!G130:G139)</f>
        <v>-697.09</v>
      </c>
      <c r="H84" s="100">
        <f>G50-H50</f>
        <v>0</v>
      </c>
      <c r="I84" s="100">
        <f t="shared" ref="I84:Q84" si="47">H50-I50</f>
        <v>0</v>
      </c>
      <c r="J84" s="100">
        <f t="shared" si="47"/>
        <v>0</v>
      </c>
      <c r="K84" s="100">
        <f t="shared" si="47"/>
        <v>0</v>
      </c>
      <c r="L84" s="100">
        <f t="shared" si="47"/>
        <v>0</v>
      </c>
      <c r="M84" s="100">
        <f t="shared" si="47"/>
        <v>0</v>
      </c>
      <c r="N84" s="100">
        <f t="shared" si="47"/>
        <v>0</v>
      </c>
      <c r="O84" s="100">
        <f t="shared" si="47"/>
        <v>0</v>
      </c>
      <c r="P84" s="100">
        <f t="shared" si="47"/>
        <v>0</v>
      </c>
      <c r="Q84" s="100">
        <f t="shared" si="47"/>
        <v>0</v>
      </c>
    </row>
    <row r="85" spans="2:17">
      <c r="B85" s="64" t="s">
        <v>157</v>
      </c>
      <c r="C85" s="74">
        <f>'Data Sheet'!C140</f>
        <v>206.75</v>
      </c>
      <c r="D85" s="74">
        <f>'Data Sheet'!D140</f>
        <v>174.68</v>
      </c>
      <c r="E85" s="74">
        <f>'Data Sheet'!E140</f>
        <v>170.26</v>
      </c>
      <c r="F85" s="74">
        <f>'Data Sheet'!F140</f>
        <v>151.36000000000001</v>
      </c>
      <c r="G85" s="74">
        <f>'Data Sheet'!G140</f>
        <v>143.27000000000001</v>
      </c>
      <c r="H85" s="95">
        <f>H16</f>
        <v>353.65930753766298</v>
      </c>
      <c r="I85" s="95">
        <f t="shared" ref="I85:Q85" si="48">I16</f>
        <v>381.03525413491462</v>
      </c>
      <c r="J85" s="95">
        <f t="shared" si="48"/>
        <v>409.64545759951324</v>
      </c>
      <c r="K85" s="95">
        <f t="shared" si="48"/>
        <v>439.48111865762962</v>
      </c>
      <c r="L85" s="95">
        <f t="shared" si="48"/>
        <v>470.52953667576384</v>
      </c>
      <c r="M85" s="95">
        <f t="shared" si="48"/>
        <v>502.77420251154484</v>
      </c>
      <c r="N85" s="95">
        <f t="shared" si="48"/>
        <v>536.19491543301058</v>
      </c>
      <c r="O85" s="95">
        <f t="shared" si="48"/>
        <v>570.76792208618701</v>
      </c>
      <c r="P85" s="95">
        <f t="shared" si="48"/>
        <v>606.46607535423254</v>
      </c>
      <c r="Q85" s="95">
        <f t="shared" si="48"/>
        <v>643.25901085385294</v>
      </c>
    </row>
    <row r="86" spans="2:17">
      <c r="B86" s="70" t="s">
        <v>153</v>
      </c>
      <c r="C86" s="71">
        <f t="shared" ref="C86:Q86" si="49">SUM(C82:C85)</f>
        <v>910.8900000000001</v>
      </c>
      <c r="D86" s="71">
        <f t="shared" si="49"/>
        <v>-1517.06</v>
      </c>
      <c r="E86" s="71">
        <f t="shared" si="49"/>
        <v>484.15</v>
      </c>
      <c r="F86" s="71">
        <f t="shared" si="49"/>
        <v>66.430000000000007</v>
      </c>
      <c r="G86" s="71">
        <f t="shared" si="49"/>
        <v>-757.27</v>
      </c>
      <c r="H86" s="96">
        <f t="shared" si="49"/>
        <v>115.47139182046681</v>
      </c>
      <c r="I86" s="96">
        <f t="shared" si="49"/>
        <v>131.55540186867691</v>
      </c>
      <c r="J86" s="96">
        <f t="shared" si="49"/>
        <v>148.91769396588467</v>
      </c>
      <c r="K86" s="96">
        <f t="shared" si="49"/>
        <v>167.58563235537036</v>
      </c>
      <c r="L86" s="96">
        <f t="shared" si="49"/>
        <v>187.58206990060017</v>
      </c>
      <c r="M86" s="96">
        <f t="shared" si="49"/>
        <v>208.92520479716291</v>
      </c>
      <c r="N86" s="96">
        <f t="shared" si="49"/>
        <v>231.62847815348056</v>
      </c>
      <c r="O86" s="96">
        <f t="shared" si="49"/>
        <v>255.70051202994347</v>
      </c>
      <c r="P86" s="96">
        <f t="shared" si="49"/>
        <v>281.14508702414867</v>
      </c>
      <c r="Q86" s="96">
        <f t="shared" si="49"/>
        <v>307.96115803702946</v>
      </c>
    </row>
    <row r="88" spans="2:17">
      <c r="B88" s="67" t="s">
        <v>158</v>
      </c>
    </row>
    <row r="89" spans="2:17">
      <c r="B89" s="64" t="s">
        <v>159</v>
      </c>
      <c r="C89" s="74">
        <f>SUM('Data Sheet'!C143:C144,'Data Sheet'!C147:C152)</f>
        <v>358.30000000000018</v>
      </c>
      <c r="D89" s="74">
        <f>SUM('Data Sheet'!D143:D144,'Data Sheet'!D147:D152)</f>
        <v>518.14999999999986</v>
      </c>
      <c r="E89" s="74">
        <f>SUM('Data Sheet'!E143:E144,'Data Sheet'!E147:E152)</f>
        <v>-942.19</v>
      </c>
      <c r="F89" s="74">
        <f>SUM('Data Sheet'!F143:F144,'Data Sheet'!F147:F152)</f>
        <v>-816.41</v>
      </c>
      <c r="G89" s="74">
        <f>SUM('Data Sheet'!G143:G144,'Data Sheet'!G147:G152)</f>
        <v>129.35000000000005</v>
      </c>
      <c r="H89">
        <f>H116</f>
        <v>0</v>
      </c>
      <c r="I89" s="93">
        <f t="shared" ref="I89:Q89" si="50">I116</f>
        <v>0</v>
      </c>
      <c r="J89" s="93">
        <f t="shared" si="50"/>
        <v>0</v>
      </c>
      <c r="K89" s="93">
        <f t="shared" si="50"/>
        <v>0</v>
      </c>
      <c r="L89" s="93">
        <f t="shared" si="50"/>
        <v>0</v>
      </c>
      <c r="M89" s="93">
        <f t="shared" si="50"/>
        <v>0</v>
      </c>
      <c r="N89" s="93">
        <f t="shared" si="50"/>
        <v>0</v>
      </c>
      <c r="O89" s="93">
        <f t="shared" si="50"/>
        <v>0</v>
      </c>
      <c r="P89" s="93">
        <f t="shared" si="50"/>
        <v>0</v>
      </c>
      <c r="Q89" s="93">
        <f t="shared" si="50"/>
        <v>0</v>
      </c>
    </row>
    <row r="90" spans="2:17">
      <c r="B90" s="64" t="s">
        <v>160</v>
      </c>
      <c r="C90" s="74">
        <f>'Data Sheet'!C153</f>
        <v>0</v>
      </c>
      <c r="D90" s="74">
        <f>'Data Sheet'!D153</f>
        <v>9.01</v>
      </c>
      <c r="E90" s="74">
        <f>'Data Sheet'!E153</f>
        <v>0.43</v>
      </c>
      <c r="F90" s="74">
        <f>'Data Sheet'!F153</f>
        <v>1.56</v>
      </c>
      <c r="G90" s="74">
        <f>'Data Sheet'!G153</f>
        <v>0</v>
      </c>
      <c r="H90">
        <v>0</v>
      </c>
      <c r="I90" s="93">
        <v>0</v>
      </c>
      <c r="J90" s="93">
        <v>0</v>
      </c>
      <c r="K90" s="93">
        <v>0</v>
      </c>
      <c r="L90" s="93">
        <v>0</v>
      </c>
      <c r="M90" s="93">
        <v>0</v>
      </c>
      <c r="N90" s="93">
        <v>0</v>
      </c>
      <c r="O90" s="93">
        <v>0</v>
      </c>
      <c r="P90" s="93">
        <v>0</v>
      </c>
      <c r="Q90" s="93">
        <v>0</v>
      </c>
    </row>
    <row r="91" spans="2:17">
      <c r="B91" s="64" t="s">
        <v>161</v>
      </c>
      <c r="C91" s="74">
        <f>'Data Sheet'!C154</f>
        <v>-2484.88</v>
      </c>
      <c r="D91" s="74">
        <f>'Data Sheet'!D154</f>
        <v>-1359.24</v>
      </c>
      <c r="E91" s="74">
        <f>'Data Sheet'!E154</f>
        <v>-1732.47</v>
      </c>
      <c r="F91" s="74">
        <f>'Data Sheet'!F154</f>
        <v>-1767.54</v>
      </c>
      <c r="G91" s="74">
        <f>'Data Sheet'!G154</f>
        <v>-1803.95</v>
      </c>
      <c r="H91" s="95">
        <f>-H19*H32</f>
        <v>-2452.1083528249196</v>
      </c>
      <c r="I91" s="95">
        <f t="shared" ref="I91:Q91" si="51">-I19*I32</f>
        <v>-2668.6887673641077</v>
      </c>
      <c r="J91" s="95">
        <f t="shared" si="51"/>
        <v>-2893.3203391366583</v>
      </c>
      <c r="K91" s="95">
        <f t="shared" si="51"/>
        <v>-3126.10404243006</v>
      </c>
      <c r="L91" s="95">
        <f t="shared" si="51"/>
        <v>-3367.0945348230871</v>
      </c>
      <c r="M91" s="95">
        <f t="shared" si="51"/>
        <v>-3616.3026508532193</v>
      </c>
      <c r="N91" s="95">
        <f t="shared" si="51"/>
        <v>-3873.6978633339049</v>
      </c>
      <c r="O91" s="95">
        <f t="shared" si="51"/>
        <v>-4139.2107225506879</v>
      </c>
      <c r="P91" s="95">
        <f t="shared" si="51"/>
        <v>-4412.735279731588</v>
      </c>
      <c r="Q91" s="95">
        <f t="shared" si="51"/>
        <v>-4694.1314979390618</v>
      </c>
    </row>
    <row r="92" spans="2:17">
      <c r="B92" s="64" t="s">
        <v>162</v>
      </c>
      <c r="C92" s="74">
        <f>SUM('Data Sheet'!C145:C146)</f>
        <v>-119.26</v>
      </c>
      <c r="D92" s="74">
        <f>SUM('Data Sheet'!D145:D146)</f>
        <v>-196.29</v>
      </c>
      <c r="E92" s="74">
        <f>SUM('Data Sheet'!E145:E146)</f>
        <v>-164.9</v>
      </c>
      <c r="F92" s="74">
        <f>SUM('Data Sheet'!F145:F146)</f>
        <v>-171.51</v>
      </c>
      <c r="G92" s="74">
        <f>SUM('Data Sheet'!G145:G146)</f>
        <v>-108.02000000000001</v>
      </c>
      <c r="H92" s="95">
        <f>H118</f>
        <v>-96.807492099353553</v>
      </c>
      <c r="I92" s="95">
        <f t="shared" ref="I92:Q92" si="52">I118</f>
        <v>-96.807492099353553</v>
      </c>
      <c r="J92" s="95">
        <f t="shared" si="52"/>
        <v>-96.807492099353553</v>
      </c>
      <c r="K92" s="95">
        <f t="shared" si="52"/>
        <v>-96.807492099353553</v>
      </c>
      <c r="L92" s="95">
        <f t="shared" si="52"/>
        <v>-96.807492099353553</v>
      </c>
      <c r="M92" s="95">
        <f t="shared" si="52"/>
        <v>-96.807492099353553</v>
      </c>
      <c r="N92" s="95">
        <f t="shared" si="52"/>
        <v>-96.807492099353553</v>
      </c>
      <c r="O92" s="95">
        <f t="shared" si="52"/>
        <v>-96.807492099353553</v>
      </c>
      <c r="P92" s="95">
        <f t="shared" si="52"/>
        <v>-96.807492099353553</v>
      </c>
      <c r="Q92" s="95">
        <f t="shared" si="52"/>
        <v>-96.807492099353553</v>
      </c>
    </row>
    <row r="93" spans="2:17">
      <c r="B93" s="70" t="s">
        <v>158</v>
      </c>
      <c r="C93" s="71">
        <f t="shared" ref="C93:Q93" si="53">SUM(C89:C92)</f>
        <v>-2245.84</v>
      </c>
      <c r="D93" s="71">
        <f t="shared" si="53"/>
        <v>-1028.3700000000001</v>
      </c>
      <c r="E93" s="71">
        <f t="shared" si="53"/>
        <v>-2839.13</v>
      </c>
      <c r="F93" s="71">
        <f t="shared" si="53"/>
        <v>-2753.8999999999996</v>
      </c>
      <c r="G93" s="71">
        <f t="shared" si="53"/>
        <v>-1782.62</v>
      </c>
      <c r="H93" s="96">
        <f t="shared" si="53"/>
        <v>-2548.9158449242732</v>
      </c>
      <c r="I93" s="96">
        <f t="shared" si="53"/>
        <v>-2765.4962594634612</v>
      </c>
      <c r="J93" s="96">
        <f t="shared" si="53"/>
        <v>-2990.1278312360118</v>
      </c>
      <c r="K93" s="96">
        <f t="shared" si="53"/>
        <v>-3222.9115345294135</v>
      </c>
      <c r="L93" s="96">
        <f t="shared" si="53"/>
        <v>-3463.9020269224407</v>
      </c>
      <c r="M93" s="96">
        <f t="shared" si="53"/>
        <v>-3713.1101429525729</v>
      </c>
      <c r="N93" s="96">
        <f t="shared" si="53"/>
        <v>-3970.5053554332585</v>
      </c>
      <c r="O93" s="96">
        <f t="shared" si="53"/>
        <v>-4236.018214650041</v>
      </c>
      <c r="P93" s="96">
        <f t="shared" si="53"/>
        <v>-4509.5427718309411</v>
      </c>
      <c r="Q93" s="96">
        <f t="shared" si="53"/>
        <v>-4790.9389900384149</v>
      </c>
    </row>
    <row r="95" spans="2:17">
      <c r="B95" s="67" t="s">
        <v>163</v>
      </c>
      <c r="C95" s="74">
        <f>C79+C86+C93</f>
        <v>-35.429999999999836</v>
      </c>
      <c r="D95" s="74">
        <f t="shared" ref="D95:Q95" si="54">D79+D86+D93</f>
        <v>-19.220000000000027</v>
      </c>
      <c r="E95" s="74">
        <f t="shared" si="54"/>
        <v>218</v>
      </c>
      <c r="F95" s="74">
        <f t="shared" si="54"/>
        <v>-196.84999999999991</v>
      </c>
      <c r="G95" s="74">
        <f>G79+G86+G93</f>
        <v>71.710000000000491</v>
      </c>
      <c r="H95" s="109">
        <f t="shared" si="54"/>
        <v>148.95022291579699</v>
      </c>
      <c r="I95" s="109">
        <f t="shared" si="54"/>
        <v>302.22229370613013</v>
      </c>
      <c r="J95" s="109">
        <f t="shared" si="54"/>
        <v>306.64732385410753</v>
      </c>
      <c r="K95" s="109">
        <f t="shared" si="54"/>
        <v>313.84867767564674</v>
      </c>
      <c r="L95" s="109">
        <f t="shared" si="54"/>
        <v>323.64435322673035</v>
      </c>
      <c r="M95" s="109">
        <f t="shared" si="54"/>
        <v>335.86841630692879</v>
      </c>
      <c r="N95" s="109">
        <f t="shared" si="54"/>
        <v>350.36872845521293</v>
      </c>
      <c r="O95" s="109">
        <f t="shared" si="54"/>
        <v>367.00497332141458</v>
      </c>
      <c r="P95" s="109">
        <f t="shared" si="54"/>
        <v>385.64694955146297</v>
      </c>
      <c r="Q95" s="109">
        <f t="shared" si="54"/>
        <v>406.17310130415535</v>
      </c>
    </row>
    <row r="96" spans="2:17">
      <c r="B96" s="64" t="s">
        <v>164</v>
      </c>
      <c r="C96" s="74">
        <f>SUM('Data Sheet'!C157:C158)</f>
        <v>144.75</v>
      </c>
      <c r="D96" s="74">
        <f>SUM('Data Sheet'!D157:D158)</f>
        <v>119.38</v>
      </c>
      <c r="E96" s="74">
        <f>SUM('Data Sheet'!E157:E158)</f>
        <v>101.45</v>
      </c>
      <c r="F96" s="74">
        <f>SUM('Data Sheet'!F157:F158)</f>
        <v>322.08999999999997</v>
      </c>
      <c r="G96" s="74">
        <f>SUM('Data Sheet'!G157:G158)</f>
        <v>141.13</v>
      </c>
      <c r="H96" s="95">
        <f>G41</f>
        <v>220</v>
      </c>
      <c r="I96" s="95">
        <f t="shared" ref="I96:Q96" si="55">H97</f>
        <v>368.95022291579699</v>
      </c>
      <c r="J96" s="95">
        <f t="shared" si="55"/>
        <v>671.17251662192712</v>
      </c>
      <c r="K96" s="95">
        <f t="shared" si="55"/>
        <v>977.81984047603464</v>
      </c>
      <c r="L96" s="95">
        <f t="shared" si="55"/>
        <v>1291.6685181516814</v>
      </c>
      <c r="M96" s="95">
        <f t="shared" si="55"/>
        <v>1615.3128713784117</v>
      </c>
      <c r="N96" s="95">
        <f t="shared" si="55"/>
        <v>1951.1812876853405</v>
      </c>
      <c r="O96" s="95">
        <f t="shared" si="55"/>
        <v>2301.5500161405535</v>
      </c>
      <c r="P96" s="95">
        <f t="shared" si="55"/>
        <v>2668.554989461968</v>
      </c>
      <c r="Q96" s="95">
        <f t="shared" si="55"/>
        <v>3054.201939013431</v>
      </c>
    </row>
    <row r="97" spans="1:17" ht="15" thickBot="1">
      <c r="B97" s="72" t="s">
        <v>165</v>
      </c>
      <c r="C97" s="47">
        <f>SUM(C95:C96)</f>
        <v>109.32000000000016</v>
      </c>
      <c r="D97" s="47">
        <f>SUM(D95:D96)</f>
        <v>100.15999999999997</v>
      </c>
      <c r="E97" s="47">
        <f>SUM(E95:E96)</f>
        <v>319.45</v>
      </c>
      <c r="F97" s="47">
        <f>SUM(F95:F96)</f>
        <v>125.24000000000007</v>
      </c>
      <c r="G97" s="47">
        <f>SUM(G95:G96)</f>
        <v>212.84000000000049</v>
      </c>
      <c r="H97" s="47">
        <f t="shared" ref="H97:Q97" si="56">SUM(H95:H96)</f>
        <v>368.95022291579699</v>
      </c>
      <c r="I97" s="47">
        <f t="shared" si="56"/>
        <v>671.17251662192712</v>
      </c>
      <c r="J97" s="47">
        <f t="shared" si="56"/>
        <v>977.81984047603464</v>
      </c>
      <c r="K97" s="47">
        <f t="shared" si="56"/>
        <v>1291.6685181516814</v>
      </c>
      <c r="L97" s="47">
        <f t="shared" si="56"/>
        <v>1615.3128713784117</v>
      </c>
      <c r="M97" s="47">
        <f t="shared" si="56"/>
        <v>1951.1812876853405</v>
      </c>
      <c r="N97" s="47">
        <f t="shared" si="56"/>
        <v>2301.5500161405535</v>
      </c>
      <c r="O97" s="47">
        <f t="shared" si="56"/>
        <v>2668.554989461968</v>
      </c>
      <c r="P97" s="47">
        <f t="shared" si="56"/>
        <v>3054.201939013431</v>
      </c>
      <c r="Q97" s="47">
        <f t="shared" si="56"/>
        <v>3460.3750403175864</v>
      </c>
    </row>
    <row r="99" spans="1:17">
      <c r="A99" s="64" t="s">
        <v>7</v>
      </c>
      <c r="B99" s="65" t="s">
        <v>220</v>
      </c>
      <c r="C99" s="73"/>
      <c r="D99" s="73"/>
      <c r="E99" s="73"/>
      <c r="F99" s="73"/>
      <c r="G99" s="73"/>
      <c r="H99" s="73"/>
      <c r="I99" s="73"/>
      <c r="J99" s="73"/>
      <c r="K99" s="73"/>
      <c r="L99" s="73"/>
      <c r="M99" s="73"/>
      <c r="N99" s="73"/>
      <c r="O99" s="73"/>
      <c r="P99" s="73"/>
      <c r="Q99" s="73"/>
    </row>
    <row r="101" spans="1:17">
      <c r="B101" s="67" t="s">
        <v>221</v>
      </c>
    </row>
    <row r="102" spans="1:17">
      <c r="B102" t="s">
        <v>222</v>
      </c>
      <c r="C102" s="74">
        <f>'Data Sheet'!C119</f>
        <v>-72.209999999999994</v>
      </c>
      <c r="D102" s="74">
        <f>'Data Sheet'!D119</f>
        <v>1.29</v>
      </c>
      <c r="E102" s="74">
        <f>'Data Sheet'!E119</f>
        <v>-63.65</v>
      </c>
      <c r="F102" s="74">
        <f>'Data Sheet'!F119</f>
        <v>-53.44</v>
      </c>
      <c r="G102" s="74">
        <f>'Data Sheet'!G119</f>
        <v>-12.95</v>
      </c>
      <c r="H102" s="95">
        <f>G43-H43</f>
        <v>-13.1203732625724</v>
      </c>
      <c r="I102" s="95">
        <f t="shared" ref="I102:Q102" si="57">H43-I43</f>
        <v>-37.336075311017908</v>
      </c>
      <c r="J102" s="95">
        <f t="shared" si="57"/>
        <v>-39.019389061967331</v>
      </c>
      <c r="K102" s="95">
        <f t="shared" si="57"/>
        <v>-40.690702119198022</v>
      </c>
      <c r="L102" s="95">
        <f t="shared" si="57"/>
        <v>-42.344693700177004</v>
      </c>
      <c r="M102" s="95">
        <f t="shared" si="57"/>
        <v>-43.976169654867363</v>
      </c>
      <c r="N102" s="95">
        <f t="shared" si="57"/>
        <v>-45.580095290988993</v>
      </c>
      <c r="O102" s="95">
        <f t="shared" si="57"/>
        <v>-47.151625444100887</v>
      </c>
      <c r="P102" s="95">
        <f t="shared" si="57"/>
        <v>-48.686131606269782</v>
      </c>
      <c r="Q102" s="95">
        <f t="shared" si="57"/>
        <v>-50.179225980268484</v>
      </c>
    </row>
    <row r="103" spans="1:17">
      <c r="B103" t="s">
        <v>179</v>
      </c>
      <c r="C103" s="74">
        <f>'Data Sheet'!C118</f>
        <v>-274.76</v>
      </c>
      <c r="D103" s="74">
        <f>'Data Sheet'!D118</f>
        <v>177.15</v>
      </c>
      <c r="E103" s="74">
        <f>'Data Sheet'!E118</f>
        <v>12.6</v>
      </c>
      <c r="F103" s="74">
        <f>'Data Sheet'!F118</f>
        <v>-54.33</v>
      </c>
      <c r="G103" s="74">
        <f>'Data Sheet'!G118</f>
        <v>-105.05</v>
      </c>
      <c r="H103" s="95">
        <f>G44-H44</f>
        <v>-219.92841842452049</v>
      </c>
      <c r="I103" s="95">
        <f t="shared" ref="I103:Q103" si="58">H44-I44</f>
        <v>-121.20946777876475</v>
      </c>
      <c r="J103" s="95">
        <f t="shared" si="58"/>
        <v>-126.67425115938522</v>
      </c>
      <c r="K103" s="95">
        <f t="shared" si="58"/>
        <v>-132.10007496306866</v>
      </c>
      <c r="L103" s="95">
        <f t="shared" si="58"/>
        <v>-137.46966556869575</v>
      </c>
      <c r="M103" s="95">
        <f t="shared" si="58"/>
        <v>-142.76616046042045</v>
      </c>
      <c r="N103" s="95">
        <f t="shared" si="58"/>
        <v>-147.973214793034</v>
      </c>
      <c r="O103" s="95">
        <f t="shared" si="58"/>
        <v>-153.07509901279218</v>
      </c>
      <c r="P103" s="95">
        <f t="shared" si="58"/>
        <v>-158.0567869291126</v>
      </c>
      <c r="Q103" s="95">
        <f t="shared" si="58"/>
        <v>-162.90403380517682</v>
      </c>
    </row>
    <row r="104" spans="1:17">
      <c r="B104" t="s">
        <v>223</v>
      </c>
      <c r="C104" s="74">
        <f>'Data Sheet'!C121</f>
        <v>64.010000000000005</v>
      </c>
      <c r="D104" s="74">
        <f>'Data Sheet'!D121</f>
        <v>292.04000000000002</v>
      </c>
      <c r="E104" s="74">
        <f>'Data Sheet'!E121</f>
        <v>236.67</v>
      </c>
      <c r="F104" s="74">
        <f>'Data Sheet'!F121</f>
        <v>202.19</v>
      </c>
      <c r="G104" s="74">
        <f>'Data Sheet'!G121</f>
        <v>24.81</v>
      </c>
      <c r="H104" s="95">
        <f>H56-G56</f>
        <v>75.594417538575726</v>
      </c>
      <c r="I104" s="95">
        <f t="shared" ref="I104:Q104" si="59">I56-H56</f>
        <v>152.64828741523047</v>
      </c>
      <c r="J104" s="95">
        <f t="shared" si="59"/>
        <v>159.53050412184439</v>
      </c>
      <c r="K104" s="95">
        <f t="shared" si="59"/>
        <v>166.36365607463495</v>
      </c>
      <c r="L104" s="95">
        <f t="shared" si="59"/>
        <v>173.12598929076557</v>
      </c>
      <c r="M104" s="95">
        <f t="shared" si="59"/>
        <v>179.79626752349395</v>
      </c>
      <c r="N104" s="95">
        <f t="shared" si="59"/>
        <v>186.35390646802171</v>
      </c>
      <c r="O104" s="95">
        <f t="shared" si="59"/>
        <v>192.77909670281679</v>
      </c>
      <c r="P104" s="95">
        <f t="shared" si="59"/>
        <v>199.05291460499166</v>
      </c>
      <c r="Q104" s="95">
        <f t="shared" si="59"/>
        <v>205.1574206957257</v>
      </c>
    </row>
    <row r="105" spans="1:17">
      <c r="B105" t="s">
        <v>224</v>
      </c>
      <c r="C105" s="74">
        <f>SUM('Data Sheet'!C120)</f>
        <v>-44.29</v>
      </c>
      <c r="D105" s="74">
        <f>SUM('Data Sheet'!D120)</f>
        <v>-64.819999999999993</v>
      </c>
      <c r="E105" s="74">
        <f>SUM('Data Sheet'!E120)</f>
        <v>-24.52</v>
      </c>
      <c r="F105" s="74">
        <f>SUM('Data Sheet'!F120)</f>
        <v>-88.65</v>
      </c>
      <c r="G105" s="74">
        <f>SUM('Data Sheet'!G120)</f>
        <v>-28.05</v>
      </c>
      <c r="H105" s="95">
        <f>G45-H45+H57-G57</f>
        <v>0</v>
      </c>
      <c r="I105" s="95">
        <f t="shared" ref="I105:Q105" si="60">H45-I45+I57-H57</f>
        <v>0</v>
      </c>
      <c r="J105" s="95">
        <f t="shared" si="60"/>
        <v>0</v>
      </c>
      <c r="K105" s="95">
        <f t="shared" si="60"/>
        <v>0</v>
      </c>
      <c r="L105" s="95">
        <f t="shared" si="60"/>
        <v>0</v>
      </c>
      <c r="M105" s="95">
        <f t="shared" si="60"/>
        <v>0</v>
      </c>
      <c r="N105" s="95">
        <f t="shared" si="60"/>
        <v>0</v>
      </c>
      <c r="O105" s="95">
        <f t="shared" si="60"/>
        <v>0</v>
      </c>
      <c r="P105" s="95">
        <f t="shared" si="60"/>
        <v>0</v>
      </c>
      <c r="Q105" s="95">
        <f t="shared" si="60"/>
        <v>0</v>
      </c>
    </row>
    <row r="106" spans="1:17">
      <c r="B106" s="70" t="s">
        <v>76</v>
      </c>
      <c r="C106" s="71">
        <f>SUM(C102:C105)</f>
        <v>-327.25</v>
      </c>
      <c r="D106" s="71">
        <f>SUM(D102:D105)</f>
        <v>405.66</v>
      </c>
      <c r="E106" s="71">
        <f>SUM(E102:E105)</f>
        <v>161.1</v>
      </c>
      <c r="F106" s="71">
        <f>SUM(F102:F105)</f>
        <v>5.769999999999996</v>
      </c>
      <c r="G106" s="71">
        <f>SUM(G102:G105)</f>
        <v>-121.24</v>
      </c>
      <c r="H106" s="96">
        <f t="shared" ref="H106:Q106" si="61">SUM(H102:H105)</f>
        <v>-157.45437414851716</v>
      </c>
      <c r="I106" s="96">
        <f t="shared" si="61"/>
        <v>-5.8972556745521842</v>
      </c>
      <c r="J106" s="96">
        <f t="shared" si="61"/>
        <v>-6.163136099508165</v>
      </c>
      <c r="K106" s="96">
        <f t="shared" si="61"/>
        <v>-6.4271210076317402</v>
      </c>
      <c r="L106" s="96">
        <f t="shared" si="61"/>
        <v>-6.6883699781071755</v>
      </c>
      <c r="M106" s="96">
        <f t="shared" si="61"/>
        <v>-6.9460625917938614</v>
      </c>
      <c r="N106" s="96">
        <f t="shared" si="61"/>
        <v>-7.1994036160012911</v>
      </c>
      <c r="O106" s="96">
        <f t="shared" si="61"/>
        <v>-7.4476277540762794</v>
      </c>
      <c r="P106" s="96">
        <f t="shared" si="61"/>
        <v>-7.6900039303907306</v>
      </c>
      <c r="Q106" s="96">
        <f t="shared" si="61"/>
        <v>-7.9258390897196023</v>
      </c>
    </row>
    <row r="108" spans="1:17">
      <c r="B108" s="80" t="s">
        <v>225</v>
      </c>
    </row>
    <row r="109" spans="1:17">
      <c r="B109" s="79" t="s">
        <v>226</v>
      </c>
      <c r="C109" s="88"/>
      <c r="D109" s="88">
        <f>C112</f>
        <v>2133.6799999999998</v>
      </c>
      <c r="E109" s="88">
        <f t="shared" ref="E109:Q109" si="62">D112</f>
        <v>2617.8200000000002</v>
      </c>
      <c r="F109" s="88">
        <f t="shared" si="62"/>
        <v>2817.96</v>
      </c>
      <c r="G109" s="88">
        <f t="shared" si="62"/>
        <v>2852.71</v>
      </c>
      <c r="H109" s="88">
        <f t="shared" si="62"/>
        <v>2739.92</v>
      </c>
      <c r="I109" s="88">
        <f t="shared" si="62"/>
        <v>2669.9213024463811</v>
      </c>
      <c r="J109" s="88">
        <f t="shared" si="62"/>
        <v>2619.0880054598838</v>
      </c>
      <c r="K109" s="88">
        <f t="shared" si="62"/>
        <v>2585.220356723481</v>
      </c>
      <c r="L109" s="88">
        <f t="shared" si="62"/>
        <v>2566.329868874167</v>
      </c>
      <c r="M109" s="88">
        <f t="shared" si="62"/>
        <v>2560.6161664093297</v>
      </c>
      <c r="N109" s="88">
        <f t="shared" si="62"/>
        <v>2566.4466729954343</v>
      </c>
      <c r="O109" s="88">
        <f t="shared" si="62"/>
        <v>2582.338802889853</v>
      </c>
      <c r="P109" s="88">
        <f t="shared" si="62"/>
        <v>2606.9443564026815</v>
      </c>
      <c r="Q109" s="88">
        <f t="shared" si="62"/>
        <v>2639.0358518332619</v>
      </c>
    </row>
    <row r="110" spans="1:17">
      <c r="B110" s="81" t="s">
        <v>227</v>
      </c>
      <c r="C110" s="88"/>
      <c r="D110" s="88">
        <f>D112-D109-D111</f>
        <v>710.0500000000003</v>
      </c>
      <c r="E110" s="88">
        <f>E112-E109-E111</f>
        <v>500.59999999999985</v>
      </c>
      <c r="F110" s="88">
        <f>F112-F109-F111</f>
        <v>348.09</v>
      </c>
      <c r="G110" s="88">
        <f>G112-G109-G111</f>
        <v>224.04000000000002</v>
      </c>
      <c r="H110" s="88">
        <f>(H7-G7)/H36</f>
        <v>238.18791571719618</v>
      </c>
      <c r="I110" s="88">
        <f t="shared" ref="I110:Q110" si="63">(I7-H7)/I36</f>
        <v>249.47985226623771</v>
      </c>
      <c r="J110" s="88">
        <f t="shared" si="63"/>
        <v>260.72776363362857</v>
      </c>
      <c r="K110" s="88">
        <f t="shared" si="63"/>
        <v>271.89548630225926</v>
      </c>
      <c r="L110" s="88">
        <f t="shared" si="63"/>
        <v>282.94746677516366</v>
      </c>
      <c r="M110" s="88">
        <f t="shared" si="63"/>
        <v>293.84899771438194</v>
      </c>
      <c r="N110" s="88">
        <f t="shared" si="63"/>
        <v>304.56643727953002</v>
      </c>
      <c r="O110" s="88">
        <f t="shared" si="63"/>
        <v>315.06741005624355</v>
      </c>
      <c r="P110" s="88">
        <f t="shared" si="63"/>
        <v>325.32098833008388</v>
      </c>
      <c r="Q110" s="88">
        <f t="shared" si="63"/>
        <v>335.29785281682348</v>
      </c>
    </row>
    <row r="111" spans="1:17">
      <c r="B111" s="79" t="s">
        <v>228</v>
      </c>
      <c r="C111" s="88"/>
      <c r="D111" s="88">
        <f>-D76</f>
        <v>-225.91</v>
      </c>
      <c r="E111" s="88">
        <f>-E76</f>
        <v>-300.45999999999998</v>
      </c>
      <c r="F111" s="88">
        <f>-F76</f>
        <v>-313.33999999999997</v>
      </c>
      <c r="G111" s="88">
        <f>-G76</f>
        <v>-336.83</v>
      </c>
      <c r="H111" s="88">
        <f>-H109*H28</f>
        <v>-308.18661327081497</v>
      </c>
      <c r="I111" s="88">
        <f t="shared" ref="I111:Q111" si="64">-I109*I28</f>
        <v>-300.31314925273495</v>
      </c>
      <c r="J111" s="88">
        <f t="shared" si="64"/>
        <v>-294.595412370031</v>
      </c>
      <c r="K111" s="88">
        <f t="shared" si="64"/>
        <v>-290.78597415157293</v>
      </c>
      <c r="L111" s="88">
        <f t="shared" si="64"/>
        <v>-288.66116924000124</v>
      </c>
      <c r="M111" s="88">
        <f t="shared" si="64"/>
        <v>-288.01849112827705</v>
      </c>
      <c r="N111" s="88">
        <f t="shared" si="64"/>
        <v>-288.67430738511109</v>
      </c>
      <c r="O111" s="88">
        <f t="shared" si="64"/>
        <v>-290.46185654341531</v>
      </c>
      <c r="P111" s="88">
        <f t="shared" si="64"/>
        <v>-293.22949289950321</v>
      </c>
      <c r="Q111" s="88">
        <f t="shared" si="64"/>
        <v>-296.83914912725675</v>
      </c>
    </row>
    <row r="112" spans="1:17">
      <c r="B112" s="82" t="s">
        <v>229</v>
      </c>
      <c r="C112" s="89">
        <f>C48</f>
        <v>2133.6799999999998</v>
      </c>
      <c r="D112" s="89">
        <f>D48</f>
        <v>2617.8200000000002</v>
      </c>
      <c r="E112" s="89">
        <f>E48</f>
        <v>2817.96</v>
      </c>
      <c r="F112" s="89">
        <f>F48</f>
        <v>2852.71</v>
      </c>
      <c r="G112" s="89">
        <f>G48</f>
        <v>2739.92</v>
      </c>
      <c r="H112" s="77">
        <f>SUM(H109:H111)</f>
        <v>2669.9213024463811</v>
      </c>
      <c r="I112" s="77">
        <f t="shared" ref="I112:Q112" si="65">SUM(I109:I111)</f>
        <v>2619.0880054598838</v>
      </c>
      <c r="J112" s="77">
        <f t="shared" si="65"/>
        <v>2585.220356723481</v>
      </c>
      <c r="K112" s="77">
        <f t="shared" si="65"/>
        <v>2566.329868874167</v>
      </c>
      <c r="L112" s="77">
        <f t="shared" si="65"/>
        <v>2560.6161664093297</v>
      </c>
      <c r="M112" s="77">
        <f t="shared" si="65"/>
        <v>2566.4466729954343</v>
      </c>
      <c r="N112" s="77">
        <f t="shared" si="65"/>
        <v>2582.338802889853</v>
      </c>
      <c r="O112" s="77">
        <f t="shared" si="65"/>
        <v>2606.9443564026815</v>
      </c>
      <c r="P112" s="77">
        <f t="shared" si="65"/>
        <v>2639.0358518332619</v>
      </c>
      <c r="Q112" s="77">
        <f t="shared" si="65"/>
        <v>2677.4945555228287</v>
      </c>
    </row>
    <row r="114" spans="1:17">
      <c r="B114" s="85" t="s">
        <v>230</v>
      </c>
    </row>
    <row r="115" spans="1:17">
      <c r="B115" s="83" t="s">
        <v>226</v>
      </c>
      <c r="C115" s="88"/>
      <c r="D115" s="88">
        <f>C117</f>
        <v>2481.2000000000003</v>
      </c>
      <c r="E115" s="88">
        <f t="shared" ref="E115:Q115" si="66">D117</f>
        <v>2997.37</v>
      </c>
      <c r="F115" s="88">
        <f t="shared" si="66"/>
        <v>2064.96</v>
      </c>
      <c r="G115" s="88">
        <f t="shared" si="66"/>
        <v>1246.51</v>
      </c>
      <c r="H115" s="88">
        <f t="shared" si="66"/>
        <v>1380.2800000000002</v>
      </c>
      <c r="I115" s="88">
        <f t="shared" si="66"/>
        <v>1380.2800000000002</v>
      </c>
      <c r="J115" s="88">
        <f t="shared" si="66"/>
        <v>1380.2800000000002</v>
      </c>
      <c r="K115" s="88">
        <f t="shared" si="66"/>
        <v>1380.2800000000002</v>
      </c>
      <c r="L115" s="88">
        <f t="shared" si="66"/>
        <v>1380.2800000000002</v>
      </c>
      <c r="M115" s="88">
        <f t="shared" si="66"/>
        <v>1380.2800000000002</v>
      </c>
      <c r="N115" s="88">
        <f t="shared" si="66"/>
        <v>1380.2800000000002</v>
      </c>
      <c r="O115" s="88">
        <f t="shared" si="66"/>
        <v>1380.2800000000002</v>
      </c>
      <c r="P115" s="88">
        <f t="shared" si="66"/>
        <v>1380.2800000000002</v>
      </c>
      <c r="Q115" s="88">
        <f t="shared" si="66"/>
        <v>1380.2800000000002</v>
      </c>
    </row>
    <row r="116" spans="1:17">
      <c r="B116" s="78" t="s">
        <v>231</v>
      </c>
      <c r="C116" s="88"/>
      <c r="D116" s="88">
        <f>D117-D115</f>
        <v>516.16999999999962</v>
      </c>
      <c r="E116" s="88">
        <f>E117-E115</f>
        <v>-932.40999999999985</v>
      </c>
      <c r="F116" s="88">
        <f>F117-F115</f>
        <v>-818.45</v>
      </c>
      <c r="G116" s="88">
        <f>G117-G115</f>
        <v>133.77000000000021</v>
      </c>
      <c r="H116" s="108">
        <v>0</v>
      </c>
      <c r="I116" s="108">
        <v>0</v>
      </c>
      <c r="J116" s="108">
        <v>0</v>
      </c>
      <c r="K116" s="108">
        <v>0</v>
      </c>
      <c r="L116" s="108">
        <v>0</v>
      </c>
      <c r="M116" s="108">
        <v>0</v>
      </c>
      <c r="N116" s="108">
        <v>0</v>
      </c>
      <c r="O116" s="108">
        <v>0</v>
      </c>
      <c r="P116" s="108">
        <v>0</v>
      </c>
      <c r="Q116" s="108">
        <v>0</v>
      </c>
    </row>
    <row r="117" spans="1:17">
      <c r="B117" s="12" t="s">
        <v>229</v>
      </c>
      <c r="C117" s="89">
        <f>C60</f>
        <v>2481.2000000000003</v>
      </c>
      <c r="D117" s="89">
        <f>D60</f>
        <v>2997.37</v>
      </c>
      <c r="E117" s="89">
        <f>E60</f>
        <v>2064.96</v>
      </c>
      <c r="F117" s="89">
        <f>F60</f>
        <v>1246.51</v>
      </c>
      <c r="G117" s="89">
        <f>G60</f>
        <v>1380.2800000000002</v>
      </c>
      <c r="H117" s="95">
        <f>SUM(H115:H116)</f>
        <v>1380.2800000000002</v>
      </c>
      <c r="I117" s="95">
        <f t="shared" ref="I117:Q117" si="67">SUM(I115:I116)</f>
        <v>1380.2800000000002</v>
      </c>
      <c r="J117" s="95">
        <f t="shared" si="67"/>
        <v>1380.2800000000002</v>
      </c>
      <c r="K117" s="95">
        <f t="shared" si="67"/>
        <v>1380.2800000000002</v>
      </c>
      <c r="L117" s="95">
        <f t="shared" si="67"/>
        <v>1380.2800000000002</v>
      </c>
      <c r="M117" s="95">
        <f t="shared" si="67"/>
        <v>1380.2800000000002</v>
      </c>
      <c r="N117" s="95">
        <f t="shared" si="67"/>
        <v>1380.2800000000002</v>
      </c>
      <c r="O117" s="95">
        <f t="shared" si="67"/>
        <v>1380.2800000000002</v>
      </c>
      <c r="P117" s="95">
        <f t="shared" si="67"/>
        <v>1380.2800000000002</v>
      </c>
      <c r="Q117" s="95">
        <f t="shared" si="67"/>
        <v>1380.2800000000002</v>
      </c>
    </row>
    <row r="118" spans="1:17">
      <c r="B118" s="83" t="s">
        <v>232</v>
      </c>
      <c r="C118" s="86">
        <f>C15</f>
        <v>-144.29</v>
      </c>
      <c r="D118" s="86">
        <f>D15</f>
        <v>-169.1</v>
      </c>
      <c r="E118" s="86">
        <f>E15</f>
        <v>-164</v>
      </c>
      <c r="F118" s="86">
        <f>F15</f>
        <v>-138.80000000000001</v>
      </c>
      <c r="G118" s="86">
        <f>G15</f>
        <v>-112.76</v>
      </c>
      <c r="H118" s="95">
        <f>-H115*H29</f>
        <v>-96.807492099353553</v>
      </c>
      <c r="I118" s="95">
        <f t="shared" ref="I118:Q118" si="68">-I115*I29</f>
        <v>-96.807492099353553</v>
      </c>
      <c r="J118" s="95">
        <f t="shared" si="68"/>
        <v>-96.807492099353553</v>
      </c>
      <c r="K118" s="95">
        <f t="shared" si="68"/>
        <v>-96.807492099353553</v>
      </c>
      <c r="L118" s="95">
        <f t="shared" si="68"/>
        <v>-96.807492099353553</v>
      </c>
      <c r="M118" s="95">
        <f t="shared" si="68"/>
        <v>-96.807492099353553</v>
      </c>
      <c r="N118" s="95">
        <f t="shared" si="68"/>
        <v>-96.807492099353553</v>
      </c>
      <c r="O118" s="95">
        <f t="shared" si="68"/>
        <v>-96.807492099353553</v>
      </c>
      <c r="P118" s="95">
        <f t="shared" si="68"/>
        <v>-96.807492099353553</v>
      </c>
      <c r="Q118" s="95">
        <f t="shared" si="68"/>
        <v>-96.807492099353553</v>
      </c>
    </row>
    <row r="120" spans="1:17">
      <c r="A120" s="83" t="s">
        <v>7</v>
      </c>
      <c r="B120" s="84" t="s">
        <v>233</v>
      </c>
      <c r="C120" s="87"/>
      <c r="D120" s="87"/>
      <c r="E120" s="87"/>
      <c r="F120" s="87"/>
      <c r="G120" s="87"/>
      <c r="H120" s="87"/>
      <c r="I120" s="87"/>
      <c r="J120" s="87"/>
      <c r="K120" s="87"/>
      <c r="L120" s="87"/>
      <c r="M120" s="87"/>
      <c r="N120" s="87"/>
      <c r="O120" s="87"/>
      <c r="P120" s="87"/>
      <c r="Q120" s="87"/>
    </row>
    <row r="122" spans="1:17">
      <c r="B122" s="98" t="s">
        <v>234</v>
      </c>
      <c r="C122" s="99"/>
      <c r="D122" s="99"/>
      <c r="E122" s="99"/>
      <c r="F122" s="99"/>
      <c r="G122" s="99"/>
      <c r="H122" s="99"/>
      <c r="I122" s="99"/>
      <c r="J122" s="99"/>
      <c r="K122" s="99"/>
      <c r="L122" s="99"/>
      <c r="M122" s="99"/>
      <c r="N122" s="99"/>
      <c r="O122" s="99"/>
      <c r="P122" s="99"/>
      <c r="Q122" s="99"/>
    </row>
    <row r="123" spans="1:17">
      <c r="B123" s="93" t="s">
        <v>235</v>
      </c>
      <c r="H123" s="63">
        <f>AVERAGE(D24:G24)</f>
        <v>7.980173222214948E-2</v>
      </c>
      <c r="I123" s="97">
        <f>H123*(1-$C$127)</f>
        <v>7.7407680255484987E-2</v>
      </c>
      <c r="J123" s="97">
        <f t="shared" ref="J123:Q123" si="69">I123*(1-$C$127)</f>
        <v>7.5085449847820437E-2</v>
      </c>
      <c r="K123" s="97">
        <f t="shared" si="69"/>
        <v>7.2832886352385828E-2</v>
      </c>
      <c r="L123" s="97">
        <f t="shared" si="69"/>
        <v>7.0647899761814251E-2</v>
      </c>
      <c r="M123" s="97">
        <f t="shared" si="69"/>
        <v>6.8528462768959825E-2</v>
      </c>
      <c r="N123" s="97">
        <f t="shared" si="69"/>
        <v>6.647260888589103E-2</v>
      </c>
      <c r="O123" s="97">
        <f t="shared" si="69"/>
        <v>6.4478430619314298E-2</v>
      </c>
      <c r="P123" s="97">
        <f t="shared" si="69"/>
        <v>6.2544077700734863E-2</v>
      </c>
      <c r="Q123" s="97">
        <f t="shared" si="69"/>
        <v>6.0667755369712813E-2</v>
      </c>
    </row>
    <row r="124" spans="1:17">
      <c r="B124" s="93" t="s">
        <v>236</v>
      </c>
      <c r="H124" s="63">
        <f>MAX(D24:G24)</f>
        <v>0.15310202274151719</v>
      </c>
      <c r="I124" s="97">
        <f t="shared" ref="I124:Q124" si="70">H124*(1-$C$127)</f>
        <v>0.14850896205927167</v>
      </c>
      <c r="J124" s="97">
        <f t="shared" si="70"/>
        <v>0.1440536931974935</v>
      </c>
      <c r="K124" s="97">
        <f t="shared" si="70"/>
        <v>0.1397320824015687</v>
      </c>
      <c r="L124" s="97">
        <f t="shared" si="70"/>
        <v>0.13554011992952164</v>
      </c>
      <c r="M124" s="97">
        <f t="shared" si="70"/>
        <v>0.13147391633163599</v>
      </c>
      <c r="N124" s="97">
        <f t="shared" si="70"/>
        <v>0.12752969884168691</v>
      </c>
      <c r="O124" s="97">
        <f t="shared" si="70"/>
        <v>0.1237038078764363</v>
      </c>
      <c r="P124" s="97">
        <f t="shared" si="70"/>
        <v>0.1199926936401432</v>
      </c>
      <c r="Q124" s="97">
        <f t="shared" si="70"/>
        <v>0.1163929128309389</v>
      </c>
    </row>
    <row r="125" spans="1:17">
      <c r="B125" s="93" t="s">
        <v>237</v>
      </c>
      <c r="H125" s="63">
        <f>MIN(D24:G24)</f>
        <v>2.8754857964915281E-2</v>
      </c>
      <c r="I125" s="97">
        <f t="shared" ref="I125:Q125" si="71">H125*(1-$C$127)</f>
        <v>2.789221222596782E-2</v>
      </c>
      <c r="J125" s="97">
        <f t="shared" si="71"/>
        <v>2.7055445859188784E-2</v>
      </c>
      <c r="K125" s="97">
        <f t="shared" si="71"/>
        <v>2.6243782483413119E-2</v>
      </c>
      <c r="L125" s="97">
        <f t="shared" si="71"/>
        <v>2.5456469008910725E-2</v>
      </c>
      <c r="M125" s="97">
        <f t="shared" si="71"/>
        <v>2.4692774938643403E-2</v>
      </c>
      <c r="N125" s="97">
        <f t="shared" si="71"/>
        <v>2.3951991690484099E-2</v>
      </c>
      <c r="O125" s="97">
        <f t="shared" si="71"/>
        <v>2.3233431939769577E-2</v>
      </c>
      <c r="P125" s="97">
        <f t="shared" si="71"/>
        <v>2.2536428981576487E-2</v>
      </c>
      <c r="Q125" s="97">
        <f t="shared" si="71"/>
        <v>2.1860336112129192E-2</v>
      </c>
    </row>
    <row r="127" spans="1:17">
      <c r="B127" s="105" t="s">
        <v>238</v>
      </c>
      <c r="C127" s="106">
        <v>0.03</v>
      </c>
    </row>
    <row r="129" spans="1:16" ht="21">
      <c r="A129" s="147" t="s">
        <v>7</v>
      </c>
      <c r="B129" s="151" t="s">
        <v>290</v>
      </c>
      <c r="C129" s="148"/>
      <c r="D129" s="148" t="s">
        <v>291</v>
      </c>
      <c r="E129" s="148"/>
      <c r="F129" s="148"/>
      <c r="G129" s="148"/>
      <c r="H129" s="148"/>
      <c r="I129" s="148"/>
      <c r="J129" s="148"/>
      <c r="K129" s="148"/>
      <c r="L129" s="148"/>
      <c r="M129" s="148"/>
      <c r="N129" s="148"/>
      <c r="O129" s="148"/>
      <c r="P129" s="148"/>
    </row>
    <row r="130" spans="1:16">
      <c r="A130" s="154"/>
      <c r="B130" s="154"/>
      <c r="C130" s="154"/>
      <c r="D130" s="154"/>
      <c r="E130" s="154"/>
      <c r="F130" s="154"/>
      <c r="G130" s="154"/>
      <c r="H130" s="154"/>
      <c r="I130" s="154"/>
      <c r="J130" s="154"/>
      <c r="K130" s="154"/>
      <c r="L130" s="154"/>
      <c r="M130" s="154"/>
      <c r="N130" s="154"/>
      <c r="O130" s="154"/>
      <c r="P130" s="154"/>
    </row>
    <row r="131" spans="1:16" ht="15" thickBot="1">
      <c r="A131" s="147"/>
      <c r="B131" s="155"/>
      <c r="C131" s="155"/>
      <c r="D131" s="155"/>
      <c r="E131" s="155" t="s">
        <v>292</v>
      </c>
      <c r="F131" s="155"/>
      <c r="G131" s="155"/>
      <c r="H131" s="155"/>
      <c r="I131" s="155"/>
      <c r="J131" s="155"/>
      <c r="K131" s="155" t="s">
        <v>293</v>
      </c>
      <c r="L131" s="155"/>
      <c r="M131" s="155"/>
      <c r="N131" s="155"/>
      <c r="O131" s="155" t="s">
        <v>294</v>
      </c>
      <c r="P131" s="155"/>
    </row>
    <row r="132" spans="1:16">
      <c r="A132" s="147"/>
      <c r="B132" s="149"/>
      <c r="C132" s="149" t="s">
        <v>295</v>
      </c>
      <c r="D132" s="149" t="s">
        <v>296</v>
      </c>
      <c r="E132" s="149" t="s">
        <v>297</v>
      </c>
      <c r="F132" s="149" t="s">
        <v>138</v>
      </c>
      <c r="G132" s="149" t="s">
        <v>298</v>
      </c>
      <c r="H132" s="156" t="s">
        <v>299</v>
      </c>
      <c r="I132" s="149"/>
      <c r="J132" s="149" t="s">
        <v>300</v>
      </c>
      <c r="K132" s="149" t="s">
        <v>100</v>
      </c>
      <c r="L132" s="149" t="s">
        <v>301</v>
      </c>
      <c r="M132" s="149"/>
      <c r="N132" s="149" t="s">
        <v>302</v>
      </c>
      <c r="O132" s="149" t="s">
        <v>279</v>
      </c>
      <c r="P132" s="149" t="s">
        <v>303</v>
      </c>
    </row>
    <row r="133" spans="1:16">
      <c r="A133" s="147"/>
      <c r="B133" s="150" t="s">
        <v>304</v>
      </c>
      <c r="C133" s="153" t="s">
        <v>305</v>
      </c>
      <c r="D133" s="149" t="s">
        <v>308</v>
      </c>
      <c r="E133" s="153" t="s">
        <v>309</v>
      </c>
      <c r="F133" s="149"/>
      <c r="G133" s="149" t="s">
        <v>306</v>
      </c>
      <c r="H133" s="157" t="s">
        <v>309</v>
      </c>
      <c r="I133" s="149"/>
      <c r="J133" s="157" t="s">
        <v>309</v>
      </c>
      <c r="K133" s="157" t="s">
        <v>309</v>
      </c>
      <c r="L133" s="157" t="s">
        <v>309</v>
      </c>
      <c r="M133" s="149"/>
      <c r="N133" s="149" t="s">
        <v>307</v>
      </c>
      <c r="O133" s="149" t="s">
        <v>307</v>
      </c>
      <c r="P133" s="149" t="s">
        <v>307</v>
      </c>
    </row>
    <row r="135" spans="1:16">
      <c r="B135" t="str">
        <f>'Comps Data'!C4</f>
        <v>Britannia Industries Limited</v>
      </c>
      <c r="C135" s="159">
        <f>'Comps Data'!D4</f>
        <v>4937.5</v>
      </c>
      <c r="D135" s="160">
        <f>'Comps Data'!E4</f>
        <v>24.09</v>
      </c>
      <c r="E135" s="160">
        <f>C135*D135</f>
        <v>118944.375</v>
      </c>
      <c r="F135" s="160">
        <f>'Comps Data'!F4</f>
        <v>1380.28</v>
      </c>
      <c r="G135" s="160">
        <f>'Comps Data'!G4</f>
        <v>352.44</v>
      </c>
      <c r="H135" s="161">
        <f>E135+F135-G135</f>
        <v>119972.215</v>
      </c>
      <c r="I135" s="152"/>
      <c r="J135" s="159">
        <f>'Comps Data'!H4</f>
        <v>19529.34</v>
      </c>
      <c r="K135" s="160">
        <f>H135/'Comps Data'!I4</f>
        <v>3829.3078518991383</v>
      </c>
      <c r="L135" s="161">
        <f>'Comps Data'!N4</f>
        <v>2537.0100000000002</v>
      </c>
      <c r="M135" s="61"/>
      <c r="N135" s="168">
        <f>H135/J135</f>
        <v>6.1431781616787866</v>
      </c>
      <c r="O135" s="169">
        <f>H135/K135</f>
        <v>31.33</v>
      </c>
      <c r="P135" s="170">
        <f>E135/L135</f>
        <v>46.883683942909165</v>
      </c>
    </row>
    <row r="136" spans="1:16">
      <c r="C136" s="162"/>
      <c r="D136" s="163"/>
      <c r="E136" s="163"/>
      <c r="F136" s="163"/>
      <c r="G136" s="163"/>
      <c r="H136" s="164"/>
      <c r="I136" s="152"/>
      <c r="J136" s="162"/>
      <c r="K136" s="163"/>
      <c r="L136" s="164"/>
      <c r="M136" s="61"/>
      <c r="N136" s="171"/>
      <c r="O136" s="172"/>
      <c r="P136" s="173"/>
    </row>
    <row r="137" spans="1:16">
      <c r="B137" t="str">
        <f>'Comps Data'!C3</f>
        <v>Nestle India</v>
      </c>
      <c r="C137" s="162">
        <f>'Comps Data'!D3</f>
        <v>1362.6</v>
      </c>
      <c r="D137" s="163">
        <f>'Comps Data'!E3</f>
        <v>192.83</v>
      </c>
      <c r="E137" s="163">
        <f>C137*D137</f>
        <v>262750.158</v>
      </c>
      <c r="F137" s="163">
        <f>'Comps Data'!F3</f>
        <v>444.16</v>
      </c>
      <c r="G137" s="163">
        <f>'Comps Data'!G3</f>
        <v>1340.87</v>
      </c>
      <c r="H137" s="164">
        <f>E137+F137-G137</f>
        <v>261853.44799999997</v>
      </c>
      <c r="I137" s="152"/>
      <c r="J137" s="162">
        <f>'Comps Data'!H3</f>
        <v>24436.62</v>
      </c>
      <c r="K137" s="163">
        <f>H137/'Comps Data'!I3</f>
        <v>5802.2035896299567</v>
      </c>
      <c r="L137" s="164">
        <f>'Comps Data'!N3</f>
        <v>3544.6</v>
      </c>
      <c r="M137" s="61"/>
      <c r="N137" s="171">
        <f>H137/J137</f>
        <v>10.715616480511626</v>
      </c>
      <c r="O137" s="172">
        <f>H137/K137</f>
        <v>45.13</v>
      </c>
      <c r="P137" s="173">
        <f>E137/L137</f>
        <v>74.126885403148449</v>
      </c>
    </row>
    <row r="138" spans="1:16">
      <c r="B138" t="str">
        <f>'Comps Data'!C5</f>
        <v>Gopal Snacks</v>
      </c>
      <c r="C138" s="162">
        <f>'Comps Data'!D5</f>
        <v>251.65</v>
      </c>
      <c r="D138" s="163">
        <f>'Comps Data'!E5</f>
        <v>12.47</v>
      </c>
      <c r="E138" s="163">
        <f>C138*D138</f>
        <v>3138.0755000000004</v>
      </c>
      <c r="F138" s="163">
        <f>'Comps Data'!F5</f>
        <v>154.03</v>
      </c>
      <c r="G138" s="163">
        <f>'Comps Data'!G5</f>
        <v>0.75</v>
      </c>
      <c r="H138" s="164">
        <f>E138+F138-G138</f>
        <v>3291.3555000000006</v>
      </c>
      <c r="I138" s="152"/>
      <c r="J138" s="162">
        <f>'Comps Data'!H5</f>
        <v>1608.37</v>
      </c>
      <c r="K138" s="163">
        <f>H138/'Comps Data'!I5</f>
        <v>122.35522304832716</v>
      </c>
      <c r="L138" s="164">
        <f>'Comps Data'!N5</f>
        <v>73.650000000000006</v>
      </c>
      <c r="M138" s="61"/>
      <c r="N138" s="171">
        <f>H138/J138</f>
        <v>2.046391999353383</v>
      </c>
      <c r="O138" s="172">
        <f>H138/K138</f>
        <v>26.9</v>
      </c>
      <c r="P138" s="173">
        <f>E138/L138</f>
        <v>42.60794976238968</v>
      </c>
    </row>
    <row r="139" spans="1:16">
      <c r="B139" s="147" t="str">
        <f>'Comps Data'!C6</f>
        <v>Bikiaji Foods</v>
      </c>
      <c r="C139" s="162">
        <f>'Comps Data'!D6</f>
        <v>573.95000000000005</v>
      </c>
      <c r="D139" s="163">
        <f>'Comps Data'!E6</f>
        <v>25.07</v>
      </c>
      <c r="E139" s="163">
        <f>C139*D139</f>
        <v>14388.926500000001</v>
      </c>
      <c r="F139" s="163">
        <f>'Comps Data'!F6</f>
        <v>216.92</v>
      </c>
      <c r="G139" s="163">
        <f>'Comps Data'!G6</f>
        <v>247.68</v>
      </c>
      <c r="H139" s="164">
        <f>E139+F139-G139</f>
        <v>14358.166500000001</v>
      </c>
      <c r="I139" s="152"/>
      <c r="J139" s="162">
        <f>'Comps Data'!H6</f>
        <v>2871.7</v>
      </c>
      <c r="K139" s="163">
        <f>H139/'Comps Data'!I6</f>
        <v>459.60840268886051</v>
      </c>
      <c r="L139" s="164">
        <f>'Comps Data'!N6</f>
        <v>269.07</v>
      </c>
      <c r="M139" s="61"/>
      <c r="N139" s="171">
        <f>H139/J139</f>
        <v>4.9998838666991681</v>
      </c>
      <c r="O139" s="172">
        <f>H139/K139</f>
        <v>31.24</v>
      </c>
      <c r="P139" s="173">
        <f>E139/L139</f>
        <v>53.476517263165725</v>
      </c>
    </row>
    <row r="140" spans="1:16">
      <c r="B140" s="147" t="str">
        <f>'Comps Data'!C7</f>
        <v>The Bombay Burmah</v>
      </c>
      <c r="C140" s="162">
        <f>'Comps Data'!D7</f>
        <v>1435.2</v>
      </c>
      <c r="D140" s="163">
        <f>'Comps Data'!E7</f>
        <v>6.98</v>
      </c>
      <c r="E140" s="163">
        <f>C140*D140</f>
        <v>10017.696000000002</v>
      </c>
      <c r="F140" s="163">
        <f>'Comps Data'!F7</f>
        <v>1590.43</v>
      </c>
      <c r="G140" s="163">
        <f>'Comps Data'!G7</f>
        <v>842.81</v>
      </c>
      <c r="H140" s="164">
        <f>E140+F140-G140</f>
        <v>10765.316000000003</v>
      </c>
      <c r="I140" s="152"/>
      <c r="J140" s="162">
        <f>'Comps Data'!H7</f>
        <v>19915.400000000001</v>
      </c>
      <c r="K140" s="163">
        <f>H140/'Comps Data'!I7</f>
        <v>3831.0733096085419</v>
      </c>
      <c r="L140" s="164">
        <f>'Comps Data'!N7</f>
        <v>2499.25</v>
      </c>
      <c r="M140" s="61"/>
      <c r="N140" s="171">
        <f>H140/J140</f>
        <v>0.54055233638289979</v>
      </c>
      <c r="O140" s="172">
        <f>H140/K140</f>
        <v>2.81</v>
      </c>
      <c r="P140" s="173">
        <f>E140/L140</f>
        <v>4.0082808842652806</v>
      </c>
    </row>
    <row r="141" spans="1:16">
      <c r="B141" s="147" t="str">
        <f>'Comps Data'!C8</f>
        <v>Mrs Bectors</v>
      </c>
      <c r="C141" s="165">
        <f>'Comps Data'!D8</f>
        <v>215.58</v>
      </c>
      <c r="D141" s="166">
        <f>'Comps Data'!E8</f>
        <v>30.7</v>
      </c>
      <c r="E141" s="166">
        <f>C141*D141</f>
        <v>6618.3060000000005</v>
      </c>
      <c r="F141" s="166">
        <f>'Comps Data'!F8</f>
        <v>170.6</v>
      </c>
      <c r="G141" s="166">
        <f>'Comps Data'!G8</f>
        <v>191.63</v>
      </c>
      <c r="H141" s="167">
        <f>E141+F141-G141</f>
        <v>6597.2760000000007</v>
      </c>
      <c r="I141" s="152"/>
      <c r="J141" s="165">
        <f>'Comps Data'!H8</f>
        <v>1968.09</v>
      </c>
      <c r="K141" s="166">
        <f>H141/'Comps Data'!I8</f>
        <v>269.82723926380373</v>
      </c>
      <c r="L141" s="167">
        <f>'Comps Data'!N8</f>
        <v>118.78</v>
      </c>
      <c r="M141" s="61"/>
      <c r="N141" s="174">
        <f>H141/J141</f>
        <v>3.3521210920232312</v>
      </c>
      <c r="O141" s="175">
        <f>H141/K141</f>
        <v>24.45</v>
      </c>
      <c r="P141" s="176">
        <f>E141/L141</f>
        <v>55.719026772183874</v>
      </c>
    </row>
    <row r="143" spans="1:16">
      <c r="B143" s="180" t="s">
        <v>310</v>
      </c>
      <c r="C143" s="177"/>
      <c r="D143" s="177"/>
      <c r="E143" s="177"/>
      <c r="F143" s="177"/>
      <c r="G143" s="177"/>
      <c r="H143" s="177"/>
      <c r="I143" s="177"/>
      <c r="J143" s="177"/>
      <c r="K143" s="177"/>
      <c r="L143" s="177"/>
      <c r="M143" s="177"/>
      <c r="N143" s="181">
        <f>AVERAGE(N137:N141)</f>
        <v>4.3309131549940618</v>
      </c>
      <c r="O143" s="181">
        <f>AVERAGE(O137:O141)</f>
        <v>26.106000000000002</v>
      </c>
      <c r="P143" s="181">
        <f>AVERAGE(P137:P141)</f>
        <v>45.987732017030602</v>
      </c>
    </row>
    <row r="144" spans="1:16">
      <c r="B144" s="180" t="s">
        <v>311</v>
      </c>
      <c r="C144" s="177"/>
      <c r="D144" s="177"/>
      <c r="E144" s="177"/>
      <c r="F144" s="177"/>
      <c r="G144" s="177"/>
      <c r="H144" s="177"/>
      <c r="I144" s="177"/>
      <c r="J144" s="177"/>
      <c r="K144" s="177"/>
      <c r="L144" s="177"/>
      <c r="M144" s="177"/>
      <c r="N144" s="181">
        <f>MEDIAN(N137:N141)</f>
        <v>3.3521210920232312</v>
      </c>
      <c r="O144" s="181">
        <f>MEDIAN(O137:O141)</f>
        <v>26.9</v>
      </c>
      <c r="P144" s="181">
        <f>MEDIAN(P137:P141)</f>
        <v>53.476517263165725</v>
      </c>
    </row>
    <row r="146" spans="1:16">
      <c r="B146" s="177" t="s">
        <v>288</v>
      </c>
      <c r="C146" s="178">
        <v>4937.5</v>
      </c>
      <c r="D146" s="178">
        <v>24.09</v>
      </c>
      <c r="E146" s="178">
        <v>118944.375</v>
      </c>
      <c r="F146" s="178">
        <v>1380.28</v>
      </c>
      <c r="G146" s="178">
        <v>352.44</v>
      </c>
      <c r="H146" s="178">
        <v>119972.215</v>
      </c>
      <c r="I146" s="178"/>
      <c r="J146" s="178">
        <v>19529.34</v>
      </c>
      <c r="K146" s="178">
        <v>3829.3078518991383</v>
      </c>
      <c r="L146" s="178">
        <v>2537.0100000000002</v>
      </c>
      <c r="M146" s="177"/>
      <c r="N146" s="179">
        <v>6.1431781616787866</v>
      </c>
      <c r="O146" s="179">
        <v>31.33</v>
      </c>
      <c r="P146" s="179">
        <v>46.883683942909165</v>
      </c>
    </row>
    <row r="148" spans="1:16">
      <c r="A148" s="182" t="s">
        <v>7</v>
      </c>
      <c r="B148" s="187" t="s">
        <v>312</v>
      </c>
      <c r="C148" s="188" t="s">
        <v>313</v>
      </c>
      <c r="D148" s="188" t="s">
        <v>299</v>
      </c>
      <c r="E148" s="187" t="s">
        <v>314</v>
      </c>
      <c r="F148" s="187" t="s">
        <v>315</v>
      </c>
      <c r="G148" s="188" t="s">
        <v>296</v>
      </c>
      <c r="H148" s="187" t="s">
        <v>316</v>
      </c>
    </row>
    <row r="149" spans="1:16">
      <c r="B149" t="str">
        <f>N132</f>
        <v>EV / Sales</v>
      </c>
      <c r="C149" s="158">
        <f>N144</f>
        <v>3.3521210920232312</v>
      </c>
      <c r="D149" s="163">
        <f>C149*J146</f>
        <v>65464.71252729297</v>
      </c>
      <c r="E149" s="163">
        <f>F146-G146</f>
        <v>1027.8399999999999</v>
      </c>
      <c r="F149" s="163">
        <f>D149-E149</f>
        <v>64436.872527292973</v>
      </c>
      <c r="G149" s="163">
        <f>$D$146</f>
        <v>24.09</v>
      </c>
      <c r="H149" s="163">
        <f>F149/G149</f>
        <v>2674.8390422288489</v>
      </c>
    </row>
    <row r="150" spans="1:16">
      <c r="B150" t="str">
        <f>O132</f>
        <v>EV / EBITDA</v>
      </c>
      <c r="C150" s="158">
        <f>O144</f>
        <v>26.9</v>
      </c>
      <c r="D150" s="163">
        <f>C150*K146</f>
        <v>103008.38121608681</v>
      </c>
      <c r="E150" s="163">
        <f>E149</f>
        <v>1027.8399999999999</v>
      </c>
      <c r="F150" s="163">
        <f>D150-E150</f>
        <v>101980.54121608681</v>
      </c>
      <c r="G150" s="163">
        <f>$D$146</f>
        <v>24.09</v>
      </c>
      <c r="H150" s="163">
        <f>F150/G150</f>
        <v>4233.3142887541226</v>
      </c>
    </row>
    <row r="151" spans="1:16">
      <c r="B151" t="str">
        <f>P132</f>
        <v>P / E</v>
      </c>
      <c r="C151" s="158">
        <f>P144</f>
        <v>53.476517263165725</v>
      </c>
      <c r="D151" s="163">
        <f>F151+E151</f>
        <v>136698.29906182407</v>
      </c>
      <c r="E151" s="163">
        <f>E150</f>
        <v>1027.8399999999999</v>
      </c>
      <c r="F151" s="163">
        <f>C151*L146</f>
        <v>135670.45906182408</v>
      </c>
      <c r="G151" s="163">
        <f>$D$146</f>
        <v>24.09</v>
      </c>
      <c r="H151" s="163">
        <f>F151/G151</f>
        <v>5631.8164824335445</v>
      </c>
    </row>
    <row r="153" spans="1:16" ht="21">
      <c r="A153" s="205" t="s">
        <v>7</v>
      </c>
      <c r="B153" s="208" t="s">
        <v>383</v>
      </c>
      <c r="C153" s="148"/>
      <c r="D153" s="148" t="s">
        <v>291</v>
      </c>
      <c r="E153" s="148"/>
      <c r="F153" s="148"/>
      <c r="G153" s="148"/>
      <c r="H153" s="148"/>
      <c r="I153" s="148"/>
      <c r="J153" s="148"/>
      <c r="K153" s="148"/>
      <c r="L153" s="148"/>
      <c r="M153" s="148"/>
      <c r="N153" s="148"/>
      <c r="O153" s="148"/>
      <c r="P153" s="148"/>
    </row>
    <row r="155" spans="1:16">
      <c r="B155" s="258" t="s">
        <v>384</v>
      </c>
      <c r="F155" t="s">
        <v>483</v>
      </c>
      <c r="H155" s="215">
        <f>'Ratio Analysis'!G11</f>
        <v>0.40336245346855371</v>
      </c>
    </row>
    <row r="156" spans="1:16">
      <c r="B156" s="257" t="s">
        <v>385</v>
      </c>
      <c r="C156" s="255">
        <v>46293</v>
      </c>
      <c r="F156" t="s">
        <v>484</v>
      </c>
      <c r="H156" s="215">
        <f>C160/H155</f>
        <v>0.11156219329052702</v>
      </c>
    </row>
    <row r="157" spans="1:16">
      <c r="B157" s="257" t="s">
        <v>386</v>
      </c>
      <c r="C157" s="260">
        <v>46477</v>
      </c>
      <c r="F157" t="s">
        <v>485</v>
      </c>
      <c r="H157" s="344">
        <f>N173*(1-H156)</f>
        <v>4337.7268996098965</v>
      </c>
    </row>
    <row r="158" spans="1:16">
      <c r="B158" s="257" t="s">
        <v>337</v>
      </c>
      <c r="C158" s="259">
        <f>'Beta &amp; WACC '!D33</f>
        <v>0.22889899999999999</v>
      </c>
    </row>
    <row r="159" spans="1:16">
      <c r="B159" s="257" t="s">
        <v>279</v>
      </c>
      <c r="C159" s="158">
        <f>O143</f>
        <v>26.106000000000002</v>
      </c>
    </row>
    <row r="160" spans="1:16">
      <c r="B160" s="257" t="s">
        <v>387</v>
      </c>
      <c r="C160" s="261">
        <v>4.4999999999999998E-2</v>
      </c>
    </row>
    <row r="161" spans="2:16">
      <c r="B161" s="257" t="s">
        <v>388</v>
      </c>
      <c r="C161" s="259">
        <f>'Beta &amp; WACC '!D43</f>
        <v>8.8587709560334668E-2</v>
      </c>
    </row>
    <row r="162" spans="2:16">
      <c r="B162" s="257" t="s">
        <v>389</v>
      </c>
      <c r="C162" s="109">
        <f>Model!D146</f>
        <v>24.09</v>
      </c>
    </row>
    <row r="163" spans="2:16">
      <c r="B163" s="257" t="s">
        <v>390</v>
      </c>
      <c r="C163" s="344">
        <f>H185</f>
        <v>3039.3195650676389</v>
      </c>
    </row>
    <row r="166" spans="2:16">
      <c r="B166" s="271" t="s">
        <v>391</v>
      </c>
      <c r="D166" s="262" t="s">
        <v>404</v>
      </c>
      <c r="E166" s="267">
        <f>YEAR(C157)</f>
        <v>2027</v>
      </c>
      <c r="F166" s="267">
        <f>E166+1</f>
        <v>2028</v>
      </c>
      <c r="G166" s="267">
        <f t="shared" ref="G166:N166" si="72">F166+1</f>
        <v>2029</v>
      </c>
      <c r="H166" s="267">
        <f t="shared" si="72"/>
        <v>2030</v>
      </c>
      <c r="I166" s="267">
        <f t="shared" si="72"/>
        <v>2031</v>
      </c>
      <c r="J166" s="267">
        <f t="shared" si="72"/>
        <v>2032</v>
      </c>
      <c r="K166" s="267">
        <f t="shared" si="72"/>
        <v>2033</v>
      </c>
      <c r="L166" s="267">
        <f t="shared" si="72"/>
        <v>2034</v>
      </c>
      <c r="M166" s="267">
        <f t="shared" si="72"/>
        <v>2035</v>
      </c>
      <c r="N166" s="267">
        <f t="shared" si="72"/>
        <v>2036</v>
      </c>
      <c r="O166" s="278" t="s">
        <v>405</v>
      </c>
    </row>
    <row r="167" spans="2:16">
      <c r="B167" s="264" t="s">
        <v>318</v>
      </c>
      <c r="C167" s="269"/>
      <c r="D167" s="263">
        <f>C156</f>
        <v>46293</v>
      </c>
      <c r="E167" s="256">
        <f>DATE(YEAR($C$157)+E168,MONTH($C$157),DAY($C$157))</f>
        <v>46477</v>
      </c>
      <c r="F167" s="256">
        <f t="shared" ref="F167:N167" si="73">DATE(YEAR($C$157)+F168,MONTH($C$157),DAY($C$157))</f>
        <v>46843</v>
      </c>
      <c r="G167" s="256">
        <f t="shared" si="73"/>
        <v>47208</v>
      </c>
      <c r="H167" s="256">
        <f t="shared" si="73"/>
        <v>47573</v>
      </c>
      <c r="I167" s="256">
        <f t="shared" si="73"/>
        <v>47938</v>
      </c>
      <c r="J167" s="256">
        <f t="shared" si="73"/>
        <v>48304</v>
      </c>
      <c r="K167" s="256">
        <f t="shared" si="73"/>
        <v>48669</v>
      </c>
      <c r="L167" s="256">
        <f t="shared" si="73"/>
        <v>49034</v>
      </c>
      <c r="M167" s="256">
        <f t="shared" si="73"/>
        <v>49399</v>
      </c>
      <c r="N167" s="256">
        <f t="shared" si="73"/>
        <v>49765</v>
      </c>
      <c r="O167" s="277">
        <f>N167</f>
        <v>49765</v>
      </c>
    </row>
    <row r="168" spans="2:16">
      <c r="B168" s="264" t="s">
        <v>392</v>
      </c>
      <c r="E168">
        <v>0</v>
      </c>
      <c r="F168">
        <f>E168+1</f>
        <v>1</v>
      </c>
      <c r="G168" s="264">
        <f t="shared" ref="G168:N168" si="74">F168+1</f>
        <v>2</v>
      </c>
      <c r="H168" s="264">
        <f t="shared" si="74"/>
        <v>3</v>
      </c>
      <c r="I168" s="264">
        <f t="shared" si="74"/>
        <v>4</v>
      </c>
      <c r="J168" s="264">
        <f t="shared" si="74"/>
        <v>5</v>
      </c>
      <c r="K168" s="264">
        <f t="shared" si="74"/>
        <v>6</v>
      </c>
      <c r="L168" s="264">
        <f t="shared" si="74"/>
        <v>7</v>
      </c>
      <c r="M168" s="264">
        <f t="shared" si="74"/>
        <v>8</v>
      </c>
      <c r="N168" s="264">
        <f t="shared" si="74"/>
        <v>9</v>
      </c>
      <c r="O168" s="264"/>
    </row>
    <row r="169" spans="2:16">
      <c r="B169" s="264" t="s">
        <v>393</v>
      </c>
      <c r="E169" s="275">
        <f>YEARFRAC($D$167,E167)</f>
        <v>0.5083333333333333</v>
      </c>
      <c r="F169" s="275">
        <f>YEARFRAC($D$167,F167)</f>
        <v>1.5083333333333333</v>
      </c>
      <c r="G169" s="275">
        <f t="shared" ref="G169:N169" si="75">YEARFRAC($D$167,G167)</f>
        <v>2.5083333333333333</v>
      </c>
      <c r="H169" s="275">
        <f t="shared" si="75"/>
        <v>3.5083333333333333</v>
      </c>
      <c r="I169" s="275">
        <f t="shared" si="75"/>
        <v>4.5083333333333337</v>
      </c>
      <c r="J169" s="275">
        <f t="shared" si="75"/>
        <v>5.5083333333333337</v>
      </c>
      <c r="K169" s="275">
        <f t="shared" si="75"/>
        <v>6.5083333333333337</v>
      </c>
      <c r="L169" s="275">
        <f t="shared" si="75"/>
        <v>7.5083333333333337</v>
      </c>
      <c r="M169" s="275">
        <f t="shared" si="75"/>
        <v>8.5083333333333329</v>
      </c>
      <c r="N169" s="275">
        <f t="shared" si="75"/>
        <v>9.5083333333333329</v>
      </c>
      <c r="O169" s="275"/>
    </row>
    <row r="171" spans="2:16">
      <c r="B171" s="267" t="s">
        <v>102</v>
      </c>
      <c r="E171" s="163">
        <f>H14</f>
        <v>3336.1665586162931</v>
      </c>
      <c r="F171" s="163">
        <f t="shared" ref="F171:N171" si="76">I14</f>
        <v>3626.1409477018728</v>
      </c>
      <c r="G171" s="163">
        <f t="shared" si="76"/>
        <v>3926.6782567612318</v>
      </c>
      <c r="H171" s="163">
        <f t="shared" si="76"/>
        <v>4237.9352403858456</v>
      </c>
      <c r="I171" s="163">
        <f t="shared" si="76"/>
        <v>4560.0046877112572</v>
      </c>
      <c r="J171" s="163">
        <f t="shared" si="76"/>
        <v>4892.9189834801919</v>
      </c>
      <c r="K171" s="163">
        <f t="shared" si="76"/>
        <v>5236.6535976352625</v>
      </c>
      <c r="L171" s="163">
        <f t="shared" si="76"/>
        <v>5591.1305204497785</v>
      </c>
      <c r="M171" s="163">
        <f t="shared" si="76"/>
        <v>5956.2216547244007</v>
      </c>
      <c r="N171" s="163">
        <f t="shared" si="76"/>
        <v>6331.7521719156657</v>
      </c>
      <c r="O171" s="163"/>
      <c r="P171" s="163"/>
    </row>
    <row r="172" spans="2:16">
      <c r="B172" s="272" t="s">
        <v>394</v>
      </c>
      <c r="E172" s="163">
        <f>-E171*$C$158</f>
        <v>-763.64518910071081</v>
      </c>
      <c r="F172" s="163">
        <f t="shared" ref="F172:N172" si="77">-F171*$C$158</f>
        <v>-830.020036788011</v>
      </c>
      <c r="G172" s="163">
        <f t="shared" si="77"/>
        <v>-898.81272629438911</v>
      </c>
      <c r="H172" s="163">
        <f t="shared" si="77"/>
        <v>-970.05913858907968</v>
      </c>
      <c r="I172" s="163">
        <f t="shared" si="77"/>
        <v>-1043.7805130124191</v>
      </c>
      <c r="J172" s="163">
        <f t="shared" si="77"/>
        <v>-1119.9842623996324</v>
      </c>
      <c r="K172" s="163">
        <f t="shared" si="77"/>
        <v>-1198.6647718451138</v>
      </c>
      <c r="L172" s="163">
        <f t="shared" si="77"/>
        <v>-1279.8041850004338</v>
      </c>
      <c r="M172" s="163">
        <f t="shared" si="77"/>
        <v>-1363.3731805447605</v>
      </c>
      <c r="N172" s="163">
        <f t="shared" si="77"/>
        <v>-1449.331740399324</v>
      </c>
      <c r="O172" s="163"/>
      <c r="P172" s="163"/>
    </row>
    <row r="173" spans="2:16">
      <c r="B173" s="269" t="s">
        <v>395</v>
      </c>
      <c r="C173" s="269"/>
      <c r="D173" s="269"/>
      <c r="E173" s="160">
        <f>SUM(E171:E172)</f>
        <v>2572.5213695155821</v>
      </c>
      <c r="F173" s="160">
        <f t="shared" ref="F173:N173" si="78">SUM(F171:F172)</f>
        <v>2796.1209109138617</v>
      </c>
      <c r="G173" s="160">
        <f t="shared" si="78"/>
        <v>3027.8655304668428</v>
      </c>
      <c r="H173" s="160">
        <f t="shared" si="78"/>
        <v>3267.8761017967659</v>
      </c>
      <c r="I173" s="160">
        <f t="shared" si="78"/>
        <v>3516.2241746988384</v>
      </c>
      <c r="J173" s="160">
        <f t="shared" si="78"/>
        <v>3772.9347210805595</v>
      </c>
      <c r="K173" s="160">
        <f t="shared" si="78"/>
        <v>4037.9888257901484</v>
      </c>
      <c r="L173" s="160">
        <f t="shared" si="78"/>
        <v>4311.3263354493447</v>
      </c>
      <c r="M173" s="160">
        <f t="shared" si="78"/>
        <v>4592.8484741796401</v>
      </c>
      <c r="N173" s="160">
        <f t="shared" si="78"/>
        <v>4882.4204315163415</v>
      </c>
      <c r="O173" s="269"/>
    </row>
    <row r="174" spans="2:16">
      <c r="B174" s="273" t="s">
        <v>396</v>
      </c>
      <c r="E174" s="270">
        <f>-H13</f>
        <v>308.18661327081497</v>
      </c>
      <c r="F174" s="270">
        <f t="shared" ref="F174:N174" si="79">-I13</f>
        <v>300.31314925273495</v>
      </c>
      <c r="G174" s="270">
        <f t="shared" si="79"/>
        <v>294.595412370031</v>
      </c>
      <c r="H174" s="270">
        <f t="shared" si="79"/>
        <v>290.78597415157293</v>
      </c>
      <c r="I174" s="270">
        <f t="shared" si="79"/>
        <v>288.66116924000124</v>
      </c>
      <c r="J174" s="270">
        <f t="shared" si="79"/>
        <v>288.01849112827705</v>
      </c>
      <c r="K174" s="270">
        <f t="shared" si="79"/>
        <v>288.67430738511109</v>
      </c>
      <c r="L174" s="270">
        <f t="shared" si="79"/>
        <v>290.46185654341531</v>
      </c>
      <c r="M174" s="270">
        <f t="shared" si="79"/>
        <v>293.22949289950321</v>
      </c>
      <c r="N174" s="270">
        <f t="shared" si="79"/>
        <v>296.83914912725675</v>
      </c>
    </row>
    <row r="175" spans="2:16">
      <c r="B175" s="273" t="s">
        <v>397</v>
      </c>
      <c r="E175" s="270">
        <f>-H110</f>
        <v>-238.18791571719618</v>
      </c>
      <c r="F175" s="270">
        <f t="shared" ref="F175:N175" si="80">-I110</f>
        <v>-249.47985226623771</v>
      </c>
      <c r="G175" s="270">
        <f t="shared" si="80"/>
        <v>-260.72776363362857</v>
      </c>
      <c r="H175" s="270">
        <f t="shared" si="80"/>
        <v>-271.89548630225926</v>
      </c>
      <c r="I175" s="270">
        <f t="shared" si="80"/>
        <v>-282.94746677516366</v>
      </c>
      <c r="J175" s="270">
        <f t="shared" si="80"/>
        <v>-293.84899771438194</v>
      </c>
      <c r="K175" s="270">
        <f t="shared" si="80"/>
        <v>-304.56643727953002</v>
      </c>
      <c r="L175" s="270">
        <f t="shared" si="80"/>
        <v>-315.06741005624355</v>
      </c>
      <c r="M175" s="270">
        <f t="shared" si="80"/>
        <v>-325.32098833008388</v>
      </c>
      <c r="N175" s="270">
        <f t="shared" si="80"/>
        <v>-335.29785281682348</v>
      </c>
    </row>
    <row r="176" spans="2:16">
      <c r="B176" s="264" t="s">
        <v>398</v>
      </c>
      <c r="E176" s="270">
        <f>H106</f>
        <v>-157.45437414851716</v>
      </c>
      <c r="F176" s="270">
        <f t="shared" ref="F176:N176" si="81">I106</f>
        <v>-5.8972556745521842</v>
      </c>
      <c r="G176" s="270">
        <f t="shared" si="81"/>
        <v>-6.163136099508165</v>
      </c>
      <c r="H176" s="270">
        <f t="shared" si="81"/>
        <v>-6.4271210076317402</v>
      </c>
      <c r="I176" s="270">
        <f t="shared" si="81"/>
        <v>-6.6883699781071755</v>
      </c>
      <c r="J176" s="270">
        <f t="shared" si="81"/>
        <v>-6.9460625917938614</v>
      </c>
      <c r="K176" s="270">
        <f t="shared" si="81"/>
        <v>-7.1994036160012911</v>
      </c>
      <c r="L176" s="270">
        <f t="shared" si="81"/>
        <v>-7.4476277540762794</v>
      </c>
      <c r="M176" s="270">
        <f t="shared" si="81"/>
        <v>-7.6900039303907306</v>
      </c>
      <c r="N176" s="270">
        <f t="shared" si="81"/>
        <v>-7.9258390897196023</v>
      </c>
      <c r="P176" s="274"/>
    </row>
    <row r="177" spans="1:15">
      <c r="B177" s="268" t="s">
        <v>399</v>
      </c>
      <c r="C177" s="269"/>
      <c r="D177" s="269"/>
      <c r="E177" s="279">
        <f>SUM(E173:E176)</f>
        <v>2485.0656929206839</v>
      </c>
      <c r="F177" s="279">
        <f t="shared" ref="F177:N177" si="82">SUM(F173:F176)</f>
        <v>2841.056952225807</v>
      </c>
      <c r="G177" s="279">
        <f t="shared" si="82"/>
        <v>3055.5700431037376</v>
      </c>
      <c r="H177" s="279">
        <f t="shared" si="82"/>
        <v>3280.3394686384481</v>
      </c>
      <c r="I177" s="279">
        <f t="shared" si="82"/>
        <v>3515.2495071855683</v>
      </c>
      <c r="J177" s="279">
        <f t="shared" si="82"/>
        <v>3760.1581519026613</v>
      </c>
      <c r="K177" s="279">
        <f t="shared" si="82"/>
        <v>4014.8972922797284</v>
      </c>
      <c r="L177" s="279">
        <f t="shared" si="82"/>
        <v>4279.2731541824405</v>
      </c>
      <c r="M177" s="279">
        <f t="shared" si="82"/>
        <v>4553.0669748186683</v>
      </c>
      <c r="N177" s="279">
        <f t="shared" si="82"/>
        <v>4836.0358887370558</v>
      </c>
      <c r="O177" s="279">
        <f>D188</f>
        <v>103995.47615177644</v>
      </c>
    </row>
    <row r="178" spans="1:15">
      <c r="B178" s="264" t="s">
        <v>400</v>
      </c>
      <c r="E178" s="270">
        <f>E177/(1+$C$161)^E169</f>
        <v>2380.1206113371568</v>
      </c>
      <c r="F178" s="270">
        <f t="shared" ref="F178:N178" si="83">F177/(1+$C$161)^F169</f>
        <v>2499.6407982280621</v>
      </c>
      <c r="G178" s="270">
        <f t="shared" si="83"/>
        <v>2469.5992327137765</v>
      </c>
      <c r="H178" s="270">
        <f t="shared" si="83"/>
        <v>2435.5082254296753</v>
      </c>
      <c r="I178" s="270">
        <f t="shared" si="83"/>
        <v>2397.5271870560928</v>
      </c>
      <c r="J178" s="270">
        <f t="shared" si="83"/>
        <v>2355.8632069582773</v>
      </c>
      <c r="K178" s="270">
        <f t="shared" si="83"/>
        <v>2310.760690558413</v>
      </c>
      <c r="L178" s="270">
        <f t="shared" si="83"/>
        <v>2262.4923199513737</v>
      </c>
      <c r="M178" s="270">
        <f t="shared" si="83"/>
        <v>2211.3511751401215</v>
      </c>
      <c r="N178" s="270">
        <f t="shared" si="83"/>
        <v>2157.6438819501855</v>
      </c>
      <c r="O178" s="270">
        <f>O177/(1+$C$161)^N169</f>
        <v>46398.580993156298</v>
      </c>
    </row>
    <row r="179" spans="1:15">
      <c r="B179" s="264" t="s">
        <v>486</v>
      </c>
      <c r="C179" s="270">
        <f>SUM(E178:O178)</f>
        <v>69879.088322479423</v>
      </c>
    </row>
    <row r="180" spans="1:15">
      <c r="B180" s="264"/>
      <c r="H180" s="262" t="s">
        <v>406</v>
      </c>
      <c r="I180" s="267" t="s">
        <v>407</v>
      </c>
    </row>
    <row r="181" spans="1:15">
      <c r="B181" s="271" t="s">
        <v>402</v>
      </c>
      <c r="F181" s="268" t="s">
        <v>401</v>
      </c>
      <c r="G181" s="269"/>
      <c r="H181" s="160">
        <f>C179</f>
        <v>69879.088322479423</v>
      </c>
      <c r="I181" s="160">
        <f>SUM(E178:N178)+D182/(1+C161)^N169</f>
        <v>100686.64529705662</v>
      </c>
    </row>
    <row r="182" spans="1:15">
      <c r="B182" s="264" t="s">
        <v>279</v>
      </c>
      <c r="C182" s="269"/>
      <c r="D182" s="160">
        <f>(N171+N174)*C159</f>
        <v>173046.00502714654</v>
      </c>
      <c r="F182" s="274" t="s">
        <v>314</v>
      </c>
      <c r="G182" s="274"/>
      <c r="H182" s="163">
        <f>G117-SUM(G41:G42,G50)</f>
        <v>-2913.9099999999994</v>
      </c>
      <c r="I182" s="163">
        <f>H182</f>
        <v>-2913.9099999999994</v>
      </c>
    </row>
    <row r="183" spans="1:15">
      <c r="B183" s="264"/>
      <c r="F183" s="267" t="s">
        <v>315</v>
      </c>
      <c r="H183" s="280">
        <f>H181-H182-H189+H190</f>
        <v>73217.208322479419</v>
      </c>
      <c r="I183" s="280">
        <f>I181-I182-I189+I190</f>
        <v>104024.76529705661</v>
      </c>
    </row>
    <row r="184" spans="1:15">
      <c r="B184" s="264"/>
      <c r="F184" s="273" t="s">
        <v>408</v>
      </c>
      <c r="H184" s="281">
        <f>D146</f>
        <v>24.09</v>
      </c>
      <c r="I184" s="61">
        <f>H184</f>
        <v>24.09</v>
      </c>
    </row>
    <row r="185" spans="1:15">
      <c r="B185" s="264"/>
      <c r="F185" s="267" t="s">
        <v>409</v>
      </c>
      <c r="H185" s="282">
        <f>H183/H184</f>
        <v>3039.3195650676389</v>
      </c>
      <c r="I185" s="282">
        <f>I183/I184</f>
        <v>4318.1720754278376</v>
      </c>
    </row>
    <row r="186" spans="1:15">
      <c r="F186" s="273" t="s">
        <v>415</v>
      </c>
      <c r="H186" s="61">
        <f>'Comps Data'!D4</f>
        <v>4937.5</v>
      </c>
      <c r="I186" s="61">
        <f>H186</f>
        <v>4937.5</v>
      </c>
    </row>
    <row r="187" spans="1:15">
      <c r="B187" s="271" t="s">
        <v>402</v>
      </c>
      <c r="F187" s="81" t="s">
        <v>487</v>
      </c>
      <c r="H187" s="347">
        <f>H186*H184</f>
        <v>118944.375</v>
      </c>
      <c r="I187" s="347">
        <f>I186*I184</f>
        <v>118944.375</v>
      </c>
    </row>
    <row r="188" spans="1:15">
      <c r="B188" s="264" t="s">
        <v>403</v>
      </c>
      <c r="C188" s="269"/>
      <c r="D188" s="160">
        <f>H157*(1+C160)/(C161-C160)</f>
        <v>103995.47615177644</v>
      </c>
      <c r="F188" t="s">
        <v>488</v>
      </c>
      <c r="H188" s="348">
        <f>H185/H186-1</f>
        <v>-0.3844416070749086</v>
      </c>
      <c r="I188" s="348">
        <f>I185/I186-1</f>
        <v>-0.12543350371081774</v>
      </c>
    </row>
    <row r="189" spans="1:15">
      <c r="F189" t="s">
        <v>489</v>
      </c>
      <c r="H189" s="210">
        <f>G68</f>
        <v>29.32</v>
      </c>
      <c r="I189" s="210">
        <f>H189</f>
        <v>29.32</v>
      </c>
    </row>
    <row r="190" spans="1:15">
      <c r="F190" t="s">
        <v>490</v>
      </c>
      <c r="H190" s="210">
        <f>G51</f>
        <v>453.53</v>
      </c>
      <c r="I190" s="210">
        <f>H190</f>
        <v>453.53</v>
      </c>
    </row>
    <row r="191" spans="1:15" ht="21">
      <c r="A191" s="264" t="s">
        <v>7</v>
      </c>
      <c r="B191" s="266" t="s">
        <v>410</v>
      </c>
      <c r="C191" s="265"/>
      <c r="D191" s="265" t="s">
        <v>291</v>
      </c>
      <c r="E191" s="265"/>
      <c r="F191" s="265"/>
      <c r="G191" s="265"/>
      <c r="H191" s="265" t="s">
        <v>491</v>
      </c>
      <c r="I191" s="265"/>
      <c r="J191" s="265"/>
      <c r="K191" s="265"/>
      <c r="L191" s="265"/>
      <c r="M191" s="265"/>
    </row>
    <row r="193" spans="3:9" ht="15" thickBot="1">
      <c r="D193" s="284"/>
      <c r="E193" s="284"/>
      <c r="F193" s="285" t="s">
        <v>390</v>
      </c>
      <c r="G193" s="284"/>
      <c r="H193" s="284"/>
      <c r="I193" s="284"/>
    </row>
    <row r="194" spans="3:9">
      <c r="F194" t="s">
        <v>411</v>
      </c>
    </row>
    <row r="195" spans="3:9">
      <c r="D195" s="283">
        <f>H185</f>
        <v>3039.3195650676389</v>
      </c>
      <c r="E195" s="287">
        <f>F195-0.005</f>
        <v>3.5000000000000003E-2</v>
      </c>
      <c r="F195" s="287">
        <f>G195-0.005</f>
        <v>0.04</v>
      </c>
      <c r="G195" s="286">
        <v>4.4999999999999998E-2</v>
      </c>
      <c r="H195" s="287">
        <f>G195+0.005</f>
        <v>4.9999999999999996E-2</v>
      </c>
      <c r="I195" s="287">
        <f>H195+0.005</f>
        <v>5.4999999999999993E-2</v>
      </c>
    </row>
    <row r="196" spans="3:9">
      <c r="D196" s="276">
        <f>D197+0.01</f>
        <v>0.10858770956033466</v>
      </c>
      <c r="E196" s="290">
        <f t="dataTable" ref="E196:I200" dt2D="1" dtr="1" r1="C160" r2="C161" ca="1"/>
        <v>2008.2579261466888</v>
      </c>
      <c r="F196" s="290">
        <v>2070.2376248874043</v>
      </c>
      <c r="G196" s="290">
        <v>2141.8161872798046</v>
      </c>
      <c r="H196" s="290">
        <v>2225.4511757692521</v>
      </c>
      <c r="I196" s="290">
        <v>2324.517364029402</v>
      </c>
    </row>
    <row r="197" spans="3:9">
      <c r="D197" s="276">
        <f>D198+0.01</f>
        <v>9.8587709560334663E-2</v>
      </c>
      <c r="E197" s="290">
        <v>2303.1276839598481</v>
      </c>
      <c r="F197" s="290">
        <v>2396.5051770793871</v>
      </c>
      <c r="G197" s="290">
        <v>2507.1160889574485</v>
      </c>
      <c r="H197" s="290">
        <v>2640.2807214505528</v>
      </c>
      <c r="I197" s="290">
        <v>2803.7605700040449</v>
      </c>
    </row>
    <row r="198" spans="3:9">
      <c r="C198" s="62" t="s">
        <v>353</v>
      </c>
      <c r="D198" s="349">
        <f>'Beta &amp; WACC '!D43</f>
        <v>8.8587709560334668E-2</v>
      </c>
      <c r="E198" s="290">
        <v>2708.2055428703284</v>
      </c>
      <c r="F198" s="290">
        <v>2856.8409783112265</v>
      </c>
      <c r="G198" s="290">
        <v>3039.3195650676389</v>
      </c>
      <c r="H198" s="290">
        <v>3268.7969756455745</v>
      </c>
      <c r="I198" s="290">
        <v>3566.2625054316832</v>
      </c>
    </row>
    <row r="199" spans="3:9">
      <c r="D199" s="276">
        <f>D198-0.01</f>
        <v>7.8587709560334673E-2</v>
      </c>
      <c r="E199" s="290">
        <v>3299.3223294608169</v>
      </c>
      <c r="F199" s="290">
        <v>3555.4031828537713</v>
      </c>
      <c r="G199" s="290">
        <v>3887.3621370691894</v>
      </c>
      <c r="H199" s="290">
        <v>4335.0125080334474</v>
      </c>
      <c r="I199" s="290">
        <v>4971.9252902847666</v>
      </c>
    </row>
    <row r="200" spans="3:9">
      <c r="D200" s="276">
        <f>D199-0.01</f>
        <v>6.8587709560334678E-2</v>
      </c>
      <c r="E200" s="290">
        <v>4242.609062674931</v>
      </c>
      <c r="F200" s="290">
        <v>4742.0721503734594</v>
      </c>
      <c r="G200" s="290">
        <v>5452.7155867966485</v>
      </c>
      <c r="H200" s="290">
        <v>6544.9587138536172</v>
      </c>
      <c r="I200" s="290">
        <v>8440.0642420909699</v>
      </c>
    </row>
    <row r="202" spans="3:9" ht="15" thickBot="1">
      <c r="D202" s="284"/>
      <c r="E202" s="284"/>
      <c r="F202" s="285" t="s">
        <v>390</v>
      </c>
      <c r="G202" s="284"/>
      <c r="H202" s="284"/>
      <c r="I202" s="284"/>
    </row>
    <row r="203" spans="3:9">
      <c r="F203" t="s">
        <v>412</v>
      </c>
    </row>
    <row r="204" spans="3:9">
      <c r="D204" s="283">
        <f>I185</f>
        <v>4318.1720754278376</v>
      </c>
      <c r="E204" s="288">
        <f>F204-0.5</f>
        <v>25.106000000000002</v>
      </c>
      <c r="F204" s="288">
        <f>G204-0.5</f>
        <v>25.606000000000002</v>
      </c>
      <c r="G204" s="350">
        <f>O143</f>
        <v>26.106000000000002</v>
      </c>
      <c r="H204" s="288">
        <f>G204+0.5</f>
        <v>26.606000000000002</v>
      </c>
      <c r="I204" s="288">
        <f>H204+0.5</f>
        <v>27.106000000000002</v>
      </c>
    </row>
    <row r="205" spans="3:9">
      <c r="D205" s="276">
        <f>D206+0.01</f>
        <v>0.10858770956033466</v>
      </c>
      <c r="E205" s="289">
        <f t="dataTable" ref="E205:I209" dt2D="1" dtr="1" r1="C159" r2="C161"/>
        <v>3623.6438634278329</v>
      </c>
      <c r="F205" s="289">
        <v>3675.2695451548507</v>
      </c>
      <c r="G205" s="289">
        <v>3726.895226881868</v>
      </c>
      <c r="H205" s="289">
        <v>3778.5209086088853</v>
      </c>
      <c r="I205" s="289">
        <v>3830.1465903359026</v>
      </c>
    </row>
    <row r="206" spans="3:9">
      <c r="D206" s="276">
        <f>D207+0.01</f>
        <v>9.8587709560334663E-2</v>
      </c>
      <c r="E206" s="289">
        <v>3896.4212842909565</v>
      </c>
      <c r="F206" s="289">
        <v>3952.6922238026027</v>
      </c>
      <c r="G206" s="289">
        <v>4008.963163314249</v>
      </c>
      <c r="H206" s="289">
        <v>4065.2341028258952</v>
      </c>
      <c r="I206" s="289">
        <v>4121.5050423375415</v>
      </c>
    </row>
    <row r="207" spans="3:9">
      <c r="C207" s="62" t="s">
        <v>353</v>
      </c>
      <c r="D207" s="349">
        <f>'Beta &amp; WACC '!D43</f>
        <v>8.8587709560334668E-2</v>
      </c>
      <c r="E207" s="289">
        <v>4195.4070396035977</v>
      </c>
      <c r="F207" s="289">
        <v>4256.7895575157181</v>
      </c>
      <c r="G207" s="289">
        <v>4318.1720754278376</v>
      </c>
      <c r="H207" s="289">
        <v>4379.554593339959</v>
      </c>
      <c r="I207" s="289">
        <v>4440.9371112520785</v>
      </c>
    </row>
    <row r="208" spans="3:9">
      <c r="D208" s="276">
        <f>D207-0.01</f>
        <v>7.8587709560334673E-2</v>
      </c>
      <c r="E208" s="289">
        <v>4523.4474232708053</v>
      </c>
      <c r="F208" s="289">
        <v>4590.4595982810288</v>
      </c>
      <c r="G208" s="289">
        <v>4657.4717732912532</v>
      </c>
      <c r="H208" s="289">
        <v>4724.4839483014766</v>
      </c>
      <c r="I208" s="289">
        <v>4791.496123311701</v>
      </c>
    </row>
    <row r="209" spans="4:9">
      <c r="D209" s="276">
        <f>D208-0.01</f>
        <v>6.8587709560334678E-2</v>
      </c>
      <c r="E209" s="289">
        <v>4883.7309493731909</v>
      </c>
      <c r="F209" s="289">
        <v>4956.9489225843727</v>
      </c>
      <c r="G209" s="289">
        <v>5030.1668957955544</v>
      </c>
      <c r="H209" s="289">
        <v>5103.3848690067362</v>
      </c>
      <c r="I209" s="289">
        <v>5176.6028422179179</v>
      </c>
    </row>
  </sheetData>
  <dataValidations count="1">
    <dataValidation type="list" allowBlank="1" showInputMessage="1" showErrorMessage="1" sqref="C23">
      <formula1>$B$123:$B$125</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O21"/>
  <sheetViews>
    <sheetView workbookViewId="0">
      <selection activeCell="D4" sqref="D4"/>
    </sheetView>
  </sheetViews>
  <sheetFormatPr defaultRowHeight="14.5"/>
  <sheetData>
    <row r="2" spans="2:15" ht="42">
      <c r="B2" s="136" t="s">
        <v>272</v>
      </c>
      <c r="C2" s="137" t="s">
        <v>273</v>
      </c>
      <c r="D2" s="138" t="s">
        <v>274</v>
      </c>
      <c r="E2" s="138" t="s">
        <v>275</v>
      </c>
      <c r="F2" s="138" t="s">
        <v>276</v>
      </c>
      <c r="G2" s="138" t="s">
        <v>277</v>
      </c>
      <c r="H2" s="138" t="s">
        <v>278</v>
      </c>
      <c r="I2" s="138" t="s">
        <v>279</v>
      </c>
      <c r="J2" s="138" t="s">
        <v>280</v>
      </c>
      <c r="K2" s="138" t="s">
        <v>281</v>
      </c>
      <c r="L2" s="138" t="s">
        <v>282</v>
      </c>
      <c r="M2" s="138" t="s">
        <v>283</v>
      </c>
      <c r="N2" s="138" t="s">
        <v>284</v>
      </c>
      <c r="O2" s="138" t="s">
        <v>337</v>
      </c>
    </row>
    <row r="3" spans="2:15" ht="15.5">
      <c r="B3" s="143">
        <v>1</v>
      </c>
      <c r="C3" s="144" t="s">
        <v>285</v>
      </c>
      <c r="D3" s="145">
        <v>1362.6</v>
      </c>
      <c r="E3" s="145">
        <v>192.83</v>
      </c>
      <c r="F3" s="145">
        <v>444.16</v>
      </c>
      <c r="G3" s="145">
        <v>1340.87</v>
      </c>
      <c r="H3" s="145">
        <v>24436.62</v>
      </c>
      <c r="I3" s="145">
        <v>45.13</v>
      </c>
      <c r="J3" s="145">
        <v>1173.08</v>
      </c>
      <c r="K3" s="145">
        <v>1152.8900000000001</v>
      </c>
      <c r="L3" s="145">
        <v>262752.11</v>
      </c>
      <c r="M3" s="145">
        <v>261855.4</v>
      </c>
      <c r="N3" s="145">
        <v>3544.6</v>
      </c>
      <c r="O3" s="227">
        <v>0.23535700000000001</v>
      </c>
    </row>
    <row r="4" spans="2:15" ht="15.5">
      <c r="B4" s="141">
        <v>2</v>
      </c>
      <c r="C4" s="101" t="s">
        <v>288</v>
      </c>
      <c r="D4" s="142">
        <v>4937.5</v>
      </c>
      <c r="E4" s="142">
        <v>24.09</v>
      </c>
      <c r="F4" s="142">
        <v>1380.28</v>
      </c>
      <c r="G4" s="142">
        <v>352.44</v>
      </c>
      <c r="H4" s="142">
        <v>19529.34</v>
      </c>
      <c r="I4" s="142">
        <v>31.33</v>
      </c>
      <c r="J4" s="142">
        <v>774.85</v>
      </c>
      <c r="K4" s="142">
        <v>781.69</v>
      </c>
      <c r="L4" s="142">
        <v>118928.72</v>
      </c>
      <c r="M4" s="142">
        <v>119956.56</v>
      </c>
      <c r="N4" s="142">
        <v>2537.0100000000002</v>
      </c>
      <c r="O4" s="226">
        <v>0.22889899999999999</v>
      </c>
    </row>
    <row r="5" spans="2:15" ht="15.5">
      <c r="B5" s="139">
        <v>3</v>
      </c>
      <c r="C5" s="213" t="s">
        <v>479</v>
      </c>
      <c r="D5" s="140">
        <v>251.65</v>
      </c>
      <c r="E5" s="140">
        <v>12.47</v>
      </c>
      <c r="F5" s="140">
        <v>154.03</v>
      </c>
      <c r="G5" s="140">
        <v>0.75</v>
      </c>
      <c r="H5" s="140">
        <v>1608.37</v>
      </c>
      <c r="I5" s="140">
        <v>26.9</v>
      </c>
      <c r="J5" s="140">
        <v>28.58</v>
      </c>
      <c r="K5" s="140">
        <v>24.1</v>
      </c>
      <c r="L5" s="140">
        <v>3137.24</v>
      </c>
      <c r="M5" s="140">
        <v>3290.52</v>
      </c>
      <c r="N5" s="140">
        <v>73.650000000000006</v>
      </c>
      <c r="O5" s="226">
        <v>0.25389800000000001</v>
      </c>
    </row>
    <row r="6" spans="2:15" ht="15.5">
      <c r="B6" s="139">
        <v>4</v>
      </c>
      <c r="C6" s="101" t="s">
        <v>289</v>
      </c>
      <c r="D6" s="140">
        <v>573.95000000000005</v>
      </c>
      <c r="E6" s="140">
        <v>25.07</v>
      </c>
      <c r="F6" s="140">
        <v>216.92</v>
      </c>
      <c r="G6" s="140">
        <v>247.68</v>
      </c>
      <c r="H6" s="140">
        <v>2871.7</v>
      </c>
      <c r="I6" s="140">
        <v>31.24</v>
      </c>
      <c r="J6" s="140">
        <v>93.46</v>
      </c>
      <c r="K6" s="140">
        <v>95.4</v>
      </c>
      <c r="L6" s="140">
        <v>14391.02</v>
      </c>
      <c r="M6" s="140">
        <v>14360.26</v>
      </c>
      <c r="N6" s="140">
        <v>269.07</v>
      </c>
      <c r="O6" s="226">
        <v>0.26396399999999998</v>
      </c>
    </row>
    <row r="7" spans="2:15" ht="15.5">
      <c r="B7" s="139">
        <v>5</v>
      </c>
      <c r="C7" s="101" t="s">
        <v>286</v>
      </c>
      <c r="D7" s="140">
        <v>1435.2</v>
      </c>
      <c r="E7" s="140">
        <v>6.98</v>
      </c>
      <c r="F7" s="140">
        <v>1590.43</v>
      </c>
      <c r="G7" s="140">
        <v>842.81</v>
      </c>
      <c r="H7" s="140">
        <v>19915.400000000001</v>
      </c>
      <c r="I7" s="140">
        <v>2.81</v>
      </c>
      <c r="J7" s="140">
        <v>875.28</v>
      </c>
      <c r="K7" s="140">
        <v>882.12</v>
      </c>
      <c r="L7" s="140">
        <v>10013.66</v>
      </c>
      <c r="M7" s="140">
        <v>10761.28</v>
      </c>
      <c r="N7" s="140">
        <v>2499.25</v>
      </c>
      <c r="O7" s="226">
        <v>0.25300400000000001</v>
      </c>
    </row>
    <row r="8" spans="2:15" ht="15.5">
      <c r="B8" s="139">
        <v>6</v>
      </c>
      <c r="C8" s="101" t="s">
        <v>287</v>
      </c>
      <c r="D8" s="140">
        <v>215.58</v>
      </c>
      <c r="E8" s="140">
        <v>30.7</v>
      </c>
      <c r="F8" s="140">
        <v>170.6</v>
      </c>
      <c r="G8" s="140">
        <v>191.63</v>
      </c>
      <c r="H8" s="140">
        <v>1968.09</v>
      </c>
      <c r="I8" s="140">
        <v>24.45</v>
      </c>
      <c r="J8" s="140">
        <v>42.79</v>
      </c>
      <c r="K8" s="140">
        <v>41.01</v>
      </c>
      <c r="L8" s="140">
        <v>6618.1</v>
      </c>
      <c r="M8" s="140">
        <v>6597.07</v>
      </c>
      <c r="N8" s="140">
        <v>118.78</v>
      </c>
      <c r="O8" s="226">
        <v>0.24890399999999999</v>
      </c>
    </row>
    <row r="11" spans="2:15">
      <c r="D11" s="146"/>
    </row>
    <row r="13" spans="2:15">
      <c r="B13" s="154"/>
      <c r="C13" s="154"/>
      <c r="D13" s="154"/>
    </row>
    <row r="14" spans="2:15">
      <c r="B14" s="154"/>
      <c r="C14" s="154"/>
      <c r="D14" s="154"/>
    </row>
    <row r="15" spans="2:15">
      <c r="B15" s="154"/>
      <c r="C15" s="146"/>
      <c r="D15" s="154"/>
    </row>
    <row r="16" spans="2:15">
      <c r="B16" s="154"/>
      <c r="C16" s="146"/>
      <c r="D16" s="154"/>
    </row>
    <row r="17" spans="2:4">
      <c r="B17" s="154"/>
      <c r="C17" s="146"/>
      <c r="D17" s="154"/>
    </row>
    <row r="18" spans="2:4">
      <c r="B18" s="154"/>
      <c r="C18" s="146"/>
      <c r="D18" s="154"/>
    </row>
    <row r="19" spans="2:4">
      <c r="B19" s="154"/>
      <c r="C19" s="146"/>
      <c r="D19" s="154"/>
    </row>
    <row r="20" spans="2:4">
      <c r="B20" s="154"/>
      <c r="C20" s="146"/>
      <c r="D20" s="154"/>
    </row>
    <row r="21" spans="2:4">
      <c r="B21" s="154"/>
      <c r="C21" s="154"/>
      <c r="D21" s="154"/>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R40"/>
  <sheetViews>
    <sheetView showGridLines="0" topLeftCell="A25" zoomScaleNormal="100" workbookViewId="0">
      <selection activeCell="E44" sqref="E44"/>
    </sheetView>
  </sheetViews>
  <sheetFormatPr defaultColWidth="12.6328125" defaultRowHeight="14.5"/>
  <cols>
    <col min="1" max="1" width="1.81640625" customWidth="1"/>
    <col min="2" max="2" width="40.6328125" customWidth="1"/>
  </cols>
  <sheetData>
    <row r="2" spans="2:18" ht="31">
      <c r="B2" s="3" t="str">
        <f>'Data Sheet'!B2</f>
        <v>Britannia Industries Ltd</v>
      </c>
      <c r="C2" s="2"/>
      <c r="D2" s="2"/>
      <c r="E2" s="2"/>
      <c r="F2" s="2"/>
      <c r="G2" s="2"/>
      <c r="H2" s="2"/>
      <c r="I2" s="2"/>
      <c r="J2" s="2"/>
      <c r="K2" s="2"/>
      <c r="L2" s="2"/>
      <c r="M2" s="2"/>
      <c r="N2" s="2"/>
      <c r="O2" s="2"/>
      <c r="P2" s="2"/>
      <c r="Q2" s="2"/>
      <c r="R2" s="213"/>
    </row>
    <row r="3" spans="2:18" ht="21">
      <c r="B3" s="19" t="s">
        <v>240</v>
      </c>
      <c r="C3" s="20">
        <v>2022</v>
      </c>
      <c r="D3" s="20">
        <f>C3+1</f>
        <v>2023</v>
      </c>
      <c r="E3" s="20">
        <f t="shared" ref="E3:Q3" si="0">D3+1</f>
        <v>2024</v>
      </c>
      <c r="F3" s="20">
        <f t="shared" si="0"/>
        <v>2025</v>
      </c>
      <c r="G3" s="20">
        <f t="shared" si="0"/>
        <v>2026</v>
      </c>
      <c r="H3" s="21">
        <f t="shared" si="0"/>
        <v>2027</v>
      </c>
      <c r="I3" s="21">
        <f t="shared" si="0"/>
        <v>2028</v>
      </c>
      <c r="J3" s="21">
        <f t="shared" si="0"/>
        <v>2029</v>
      </c>
      <c r="K3" s="21">
        <f t="shared" si="0"/>
        <v>2030</v>
      </c>
      <c r="L3" s="21">
        <f t="shared" si="0"/>
        <v>2031</v>
      </c>
      <c r="M3" s="21">
        <f t="shared" si="0"/>
        <v>2032</v>
      </c>
      <c r="N3" s="21">
        <f t="shared" si="0"/>
        <v>2033</v>
      </c>
      <c r="O3" s="21">
        <f t="shared" si="0"/>
        <v>2034</v>
      </c>
      <c r="P3" s="21">
        <f t="shared" si="0"/>
        <v>2035</v>
      </c>
      <c r="Q3" s="21">
        <f t="shared" si="0"/>
        <v>2036</v>
      </c>
      <c r="R3" s="332"/>
    </row>
    <row r="5" spans="2:18">
      <c r="B5" s="84" t="s">
        <v>241</v>
      </c>
    </row>
    <row r="6" spans="2:18">
      <c r="B6" s="114" t="s">
        <v>242</v>
      </c>
      <c r="C6" s="115">
        <f>Model!C9/Model!C7</f>
        <v>0.3802957783741952</v>
      </c>
      <c r="D6" s="115">
        <f>Model!D9/Model!D7</f>
        <v>0.41159654122100164</v>
      </c>
      <c r="E6" s="115">
        <f>Model!E9/Model!E7</f>
        <v>0.43396283797684704</v>
      </c>
      <c r="F6" s="115">
        <f>Model!F9/Model!F7</f>
        <v>0.40900378817645311</v>
      </c>
      <c r="G6" s="115">
        <f>Model!G9/Model!G7</f>
        <v>0.41869682882726711</v>
      </c>
      <c r="H6" s="115">
        <f>Model!H9/Model!H7</f>
        <v>0.41071115491515275</v>
      </c>
      <c r="I6" s="115">
        <f>Model!I9/Model!I7</f>
        <v>0.41071115491515281</v>
      </c>
      <c r="J6" s="115">
        <f>Model!J9/Model!J7</f>
        <v>0.41071115491515275</v>
      </c>
      <c r="K6" s="115">
        <f>Model!K9/Model!K7</f>
        <v>0.41071115491515275</v>
      </c>
      <c r="L6" s="115">
        <f>Model!L9/Model!L7</f>
        <v>0.41071115491515275</v>
      </c>
      <c r="M6" s="115">
        <f>Model!M9/Model!M7</f>
        <v>0.41071115491515275</v>
      </c>
      <c r="N6" s="115">
        <f>Model!N9/Model!N7</f>
        <v>0.41071115491515275</v>
      </c>
      <c r="O6" s="115">
        <f>Model!O9/Model!O7</f>
        <v>0.41071115491515281</v>
      </c>
      <c r="P6" s="115">
        <f>Model!P9/Model!P7</f>
        <v>0.41071115491515275</v>
      </c>
      <c r="Q6" s="132">
        <f>Model!Q9/Model!Q7</f>
        <v>0.41071115491515275</v>
      </c>
    </row>
    <row r="7" spans="2:18">
      <c r="B7" s="111" t="s">
        <v>243</v>
      </c>
      <c r="C7" s="116">
        <f>Model!C12/Model!C7</f>
        <v>0.15573496808915516</v>
      </c>
      <c r="D7" s="116">
        <f>Model!D12/Model!D7</f>
        <v>0.1736696001055178</v>
      </c>
      <c r="E7" s="116">
        <f>Model!E12/Model!E7</f>
        <v>0.18902671374484412</v>
      </c>
      <c r="F7" s="116">
        <f>Model!F12/Model!F7</f>
        <v>0.17762963929002765</v>
      </c>
      <c r="G7" s="116">
        <f>Model!G12/Model!G7</f>
        <v>0.1850723621380784</v>
      </c>
      <c r="H7" s="116">
        <f>Model!H12/Model!H7</f>
        <v>0.17622665667352461</v>
      </c>
      <c r="I7" s="116">
        <f>Model!I12/Model!I7</f>
        <v>0.17622665667352458</v>
      </c>
      <c r="J7" s="116">
        <f>Model!J12/Model!J7</f>
        <v>0.17622665667352463</v>
      </c>
      <c r="K7" s="116">
        <f>Model!K12/Model!K7</f>
        <v>0.17622665667352463</v>
      </c>
      <c r="L7" s="116">
        <f>Model!L12/Model!L7</f>
        <v>0.17622665667352458</v>
      </c>
      <c r="M7" s="116">
        <f>Model!M12/Model!M7</f>
        <v>0.17622665667352455</v>
      </c>
      <c r="N7" s="116">
        <f>Model!N12/Model!N7</f>
        <v>0.17622665667352455</v>
      </c>
      <c r="O7" s="116">
        <f>Model!O12/Model!O7</f>
        <v>0.17622665667352466</v>
      </c>
      <c r="P7" s="116">
        <f>Model!P12/Model!P7</f>
        <v>0.17622665667352458</v>
      </c>
      <c r="Q7" s="133">
        <f>Model!Q12/Model!Q7</f>
        <v>0.17622665667352461</v>
      </c>
    </row>
    <row r="8" spans="2:18">
      <c r="B8" s="111" t="s">
        <v>244</v>
      </c>
      <c r="C8" s="116">
        <f>Model!C14/Model!C7</f>
        <v>0.14154875476257517</v>
      </c>
      <c r="D8" s="116">
        <f>Model!D14/Model!D7</f>
        <v>0.15981055853943568</v>
      </c>
      <c r="E8" s="116">
        <f>Model!E14/Model!E7</f>
        <v>0.1711094162119163</v>
      </c>
      <c r="F8" s="116">
        <f>Model!F14/Model!F7</f>
        <v>0.16016624058738194</v>
      </c>
      <c r="G8" s="116">
        <f>Model!G14/Model!G7</f>
        <v>0.16748478846926029</v>
      </c>
      <c r="H8" s="116">
        <f>Model!H14/Model!H7</f>
        <v>0.16132395818996098</v>
      </c>
      <c r="I8" s="116">
        <f>Model!I14/Model!I7</f>
        <v>0.16274803679383357</v>
      </c>
      <c r="J8" s="116">
        <f>Model!J14/Model!J7</f>
        <v>0.16392810209911507</v>
      </c>
      <c r="K8" s="116">
        <f>Model!K14/Model!K7</f>
        <v>0.16491126815550566</v>
      </c>
      <c r="L8" s="116">
        <f>Model!L14/Model!L7</f>
        <v>0.16573515359465049</v>
      </c>
      <c r="M8" s="116">
        <f>Model!M14/Model!M7</f>
        <v>0.16642987066704507</v>
      </c>
      <c r="N8" s="116">
        <f>Model!N14/Model!N7</f>
        <v>0.16701958173923867</v>
      </c>
      <c r="O8" s="116">
        <f>Model!O14/Model!O7</f>
        <v>0.16752372070161714</v>
      </c>
      <c r="P8" s="116">
        <f>Model!P14/Model!P7</f>
        <v>0.16795795403851002</v>
      </c>
      <c r="Q8" s="133">
        <f>Model!Q14/Model!Q7</f>
        <v>0.16833493906914529</v>
      </c>
    </row>
    <row r="9" spans="2:18">
      <c r="B9" s="111" t="s">
        <v>245</v>
      </c>
      <c r="C9" s="116">
        <f>Model!C17/Model!C7</f>
        <v>0.14702120645771943</v>
      </c>
      <c r="D9" s="116">
        <f>Model!D17/Model!D7</f>
        <v>0.18605323133268498</v>
      </c>
      <c r="E9" s="116">
        <f>Model!E17/Model!E7</f>
        <v>0.17373863024448899</v>
      </c>
      <c r="F9" s="116">
        <f>Model!F17/Model!F7</f>
        <v>0.16310671711623742</v>
      </c>
      <c r="G9" s="116">
        <f>Model!G17/Model!G7</f>
        <v>0.17172360101693909</v>
      </c>
      <c r="H9" s="116">
        <f>Model!H17/Model!H7</f>
        <v>0.17374430675672187</v>
      </c>
      <c r="I9" s="116">
        <f>Model!I17/Model!I7</f>
        <v>0.17550471419295918</v>
      </c>
      <c r="J9" s="116">
        <f>Model!J17/Model!J7</f>
        <v>0.1769882334864237</v>
      </c>
      <c r="K9" s="116">
        <f>Model!K17/Model!K7</f>
        <v>0.17824576694176519</v>
      </c>
      <c r="L9" s="116">
        <f>Model!L17/Model!L7</f>
        <v>0.17931822745124038</v>
      </c>
      <c r="M9" s="116">
        <f>Model!M17/Model!M7</f>
        <v>0.18023859861393002</v>
      </c>
      <c r="N9" s="116">
        <f>Model!N17/Model!N7</f>
        <v>0.18103355121390635</v>
      </c>
      <c r="O9" s="116">
        <f>Model!O17/Model!O7</f>
        <v>0.18172471536742321</v>
      </c>
      <c r="P9" s="116">
        <f>Model!P17/Model!P7</f>
        <v>0.18232968461938209</v>
      </c>
      <c r="Q9" s="133">
        <f>Model!Q17/Model!Q7</f>
        <v>0.18286281075714128</v>
      </c>
    </row>
    <row r="10" spans="2:18">
      <c r="B10" s="111" t="s">
        <v>246</v>
      </c>
      <c r="C10" s="116">
        <f>Model!C31</f>
        <v>0.27057781969177164</v>
      </c>
      <c r="D10" s="116">
        <f>Model!D31</f>
        <v>0.23623618012575978</v>
      </c>
      <c r="E10" s="116">
        <f>Model!E31</f>
        <v>0.26746456973986327</v>
      </c>
      <c r="F10" s="116">
        <f>Model!F31</f>
        <v>0.25583191244357728</v>
      </c>
      <c r="G10" s="116">
        <f>Model!G31</f>
        <v>0.22858628427562799</v>
      </c>
      <c r="H10" s="116">
        <f>Model!H31</f>
        <v>0.25173935325531999</v>
      </c>
      <c r="I10" s="116">
        <f>Model!I31</f>
        <v>0.25173935325531999</v>
      </c>
      <c r="J10" s="116">
        <f>Model!J31</f>
        <v>0.25173935325531999</v>
      </c>
      <c r="K10" s="116">
        <f>Model!K31</f>
        <v>0.25173935325531999</v>
      </c>
      <c r="L10" s="116">
        <f>Model!L31</f>
        <v>0.25173935325531999</v>
      </c>
      <c r="M10" s="116">
        <f>Model!M31</f>
        <v>0.25173935325531999</v>
      </c>
      <c r="N10" s="116">
        <f>Model!N31</f>
        <v>0.25173935325531999</v>
      </c>
      <c r="O10" s="116">
        <f>Model!O31</f>
        <v>0.25173935325531999</v>
      </c>
      <c r="P10" s="116">
        <f>Model!P31</f>
        <v>0.25173935325531999</v>
      </c>
      <c r="Q10" s="133">
        <f>Model!Q31</f>
        <v>0.25173935325531999</v>
      </c>
    </row>
    <row r="11" spans="2:18" s="264" customFormat="1">
      <c r="B11" s="111" t="s">
        <v>482</v>
      </c>
      <c r="C11" s="116">
        <f>Model!C14*(1-Model!C31)/(Model!C67+Model!C60-Model!C41-Model!C42)</f>
        <v>0.3006657671661494</v>
      </c>
      <c r="D11" s="116">
        <f>Model!D14*(1-Model!D31)/(Model!D67+Model!D60-Model!D41-Model!D42)</f>
        <v>0.31413191594945022</v>
      </c>
      <c r="E11" s="116">
        <f>Model!E14*(1-Model!E31)/(Model!E67+Model!E60-Model!E41-Model!E42)</f>
        <v>0.37803477848176803</v>
      </c>
      <c r="F11" s="116">
        <f>Model!F14*(1-Model!F31)/(Model!F67+Model!F60-Model!F41-Model!F42)</f>
        <v>0.40429088174309247</v>
      </c>
      <c r="G11" s="116">
        <f>Model!G14*(1-Model!G31)/(Model!G67+Model!G60-Model!G41-Model!G42)</f>
        <v>0.40336245346855371</v>
      </c>
      <c r="H11" s="116">
        <f>Model!H14*(1-Model!H31)/(Model!H67+Model!H60-Model!H41-Model!H42)</f>
        <v>0.40121826614988099</v>
      </c>
      <c r="I11" s="116">
        <f>Model!I14*(1-Model!I31)/(Model!I67+Model!I60-Model!I41-Model!I42)</f>
        <v>0.43926402331936421</v>
      </c>
      <c r="J11" s="116">
        <f>Model!J14*(1-Model!J31)/(Model!J67+Model!J60-Model!J41-Model!J42)</f>
        <v>0.47781363204254074</v>
      </c>
      <c r="K11" s="116">
        <f>Model!K14*(1-Model!K31)/(Model!K67+Model!K60-Model!K41-Model!K42)</f>
        <v>0.51673593621150682</v>
      </c>
      <c r="L11" s="116">
        <f>Model!L14*(1-Model!L31)/(Model!L67+Model!L60-Model!L41-Model!L42)</f>
        <v>0.5559179118546077</v>
      </c>
      <c r="M11" s="116">
        <f>Model!M14*(1-Model!M31)/(Model!M67+Model!M60-Model!M41-Model!M42)</f>
        <v>0.59526492833437328</v>
      </c>
      <c r="N11" s="116">
        <f>Model!N14*(1-Model!N31)/(Model!N67+Model!N60-Model!N41-Model!N42)</f>
        <v>0.63470022063133924</v>
      </c>
      <c r="O11" s="116">
        <f>Model!O14*(1-Model!O31)/(Model!O67+Model!O60-Model!O41-Model!O42)</f>
        <v>0.67416378380012831</v>
      </c>
      <c r="P11" s="116">
        <f>Model!P14*(1-Model!P31)/(Model!P67+Model!P60-Model!P41-Model!P42)</f>
        <v>0.71361088566735587</v>
      </c>
      <c r="Q11" s="116">
        <f>Model!Q14*(1-Model!Q31)/(Model!Q67+Model!Q60-Model!Q41-Model!Q42)</f>
        <v>0.75301036614864347</v>
      </c>
    </row>
    <row r="12" spans="2:18">
      <c r="B12" s="113" t="s">
        <v>247</v>
      </c>
      <c r="C12" s="117">
        <f>Model!C19/Model!C7</f>
        <v>0.10724052896593589</v>
      </c>
      <c r="D12" s="117">
        <f>Model!D19/Model!D7</f>
        <v>0.14210072666259715</v>
      </c>
      <c r="E12" s="117">
        <f>Model!E19/Model!E7</f>
        <v>0.12726970225895354</v>
      </c>
      <c r="F12" s="117">
        <f>Model!F19/Model!F7</f>
        <v>0.12137881374399685</v>
      </c>
      <c r="G12" s="117">
        <f>Model!G19/Model!G7</f>
        <v>0.13246994113804653</v>
      </c>
      <c r="H12" s="117">
        <f>Model!H19/Model!H7</f>
        <v>0.13000602734199077</v>
      </c>
      <c r="I12" s="117">
        <f>Model!I19/Model!I7</f>
        <v>0.13132327094876386</v>
      </c>
      <c r="J12" s="117">
        <f>Model!J19/Model!J7</f>
        <v>0.13243333005474983</v>
      </c>
      <c r="K12" s="117">
        <f>Model!K19/Model!K7</f>
        <v>0.13337429285134672</v>
      </c>
      <c r="L12" s="117">
        <f>Model!L19/Model!L7</f>
        <v>0.13417677284577476</v>
      </c>
      <c r="M12" s="117">
        <f>Model!M19/Model!M7</f>
        <v>0.13486545036721406</v>
      </c>
      <c r="N12" s="117">
        <f>Model!N19/Model!N7</f>
        <v>0.13546028211380373</v>
      </c>
      <c r="O12" s="117">
        <f>Model!O19/Model!O7</f>
        <v>0.135977453050321</v>
      </c>
      <c r="P12" s="117">
        <f>Model!P19/Model!P7</f>
        <v>0.13643012773405239</v>
      </c>
      <c r="Q12" s="127">
        <f>Model!Q19/Model!Q7</f>
        <v>0.13682904504268856</v>
      </c>
    </row>
    <row r="14" spans="2:18">
      <c r="B14" s="84" t="s">
        <v>248</v>
      </c>
    </row>
    <row r="15" spans="2:18">
      <c r="B15" s="114" t="s">
        <v>249</v>
      </c>
      <c r="C15" s="110"/>
      <c r="D15" s="118">
        <f>Model!D7/AVERAGE(Model!C53:D53)</f>
        <v>1.9313299127435632</v>
      </c>
      <c r="E15" s="118">
        <f>Model!E7/AVERAGE(Model!D53:E53)</f>
        <v>1.8201470942588522</v>
      </c>
      <c r="F15" s="118">
        <f>Model!F7/AVERAGE(Model!E53:F53)</f>
        <v>2.003412216651193</v>
      </c>
      <c r="G15" s="118">
        <f>Model!G7/AVERAGE(Model!F53:G53)</f>
        <v>2.062583162856769</v>
      </c>
      <c r="H15" s="118">
        <f>Model!H7/AVERAGE(Model!G53:H53)</f>
        <v>2.0914285205275771</v>
      </c>
      <c r="I15" s="118">
        <f>Model!I7/AVERAGE(Model!H53:I53)</f>
        <v>2.1739589812124294</v>
      </c>
      <c r="J15" s="118">
        <f>Model!J7/AVERAGE(Model!I53:J53)</f>
        <v>2.2442997432112817</v>
      </c>
      <c r="K15" s="118">
        <f>Model!K7/AVERAGE(Model!J53:K53)</f>
        <v>2.3097035289885586</v>
      </c>
      <c r="L15" s="118">
        <f>Model!L7/AVERAGE(Model!K53:L53)</f>
        <v>2.370047108700525</v>
      </c>
      <c r="M15" s="118">
        <f>Model!M7/AVERAGE(Model!L53:M53)</f>
        <v>2.4252707019951694</v>
      </c>
      <c r="N15" s="118">
        <f>Model!N7/AVERAGE(Model!M53:N53)</f>
        <v>2.4753718032282372</v>
      </c>
      <c r="O15" s="118">
        <f>Model!O7/AVERAGE(Model!N53:O53)</f>
        <v>2.5203984611586283</v>
      </c>
      <c r="P15" s="118">
        <f>Model!P7/AVERAGE(Model!O53:P53)</f>
        <v>2.5604423324620456</v>
      </c>
      <c r="Q15" s="134">
        <f>Model!Q7/AVERAGE(Model!P53:Q53)</f>
        <v>2.5956317760389092</v>
      </c>
    </row>
    <row r="16" spans="2:18">
      <c r="B16" s="111" t="s">
        <v>250</v>
      </c>
      <c r="C16" s="119"/>
      <c r="D16" s="119">
        <f>Model!D17/AVERAGE(Model!C53:D53)</f>
        <v>0.35933017103541248</v>
      </c>
      <c r="E16" s="119">
        <f>Model!E17/AVERAGE(Model!D53:E53)</f>
        <v>0.31622986300001976</v>
      </c>
      <c r="F16" s="119">
        <f>Model!F17/AVERAGE(Model!E53:F53)</f>
        <v>0.32676998968854032</v>
      </c>
      <c r="G16" s="119">
        <f>Model!G17/AVERAGE(Model!F53:G53)</f>
        <v>0.35419420812267211</v>
      </c>
      <c r="H16" s="119">
        <f>Model!H17/AVERAGE(Model!G53:H53)</f>
        <v>0.36337379843030032</v>
      </c>
      <c r="I16" s="119">
        <f>Model!I17/AVERAGE(Model!H53:I53)</f>
        <v>0.38154004966490412</v>
      </c>
      <c r="J16" s="119">
        <f>Model!J17/AVERAGE(Model!I53:J53)</f>
        <v>0.39721464696499903</v>
      </c>
      <c r="K16" s="119">
        <f>Model!K17/AVERAGE(Model!J53:K53)</f>
        <v>0.41169487693266721</v>
      </c>
      <c r="L16" s="119">
        <f>Model!L17/AVERAGE(Model!K53:L53)</f>
        <v>0.42499264650811541</v>
      </c>
      <c r="M16" s="119">
        <f>Model!M17/AVERAGE(Model!L53:M53)</f>
        <v>0.43712739258703159</v>
      </c>
      <c r="N16" s="119">
        <f>Model!N17/AVERAGE(Model!M53:N53)</f>
        <v>0.44812534811317872</v>
      </c>
      <c r="O16" s="119">
        <f>Model!O17/AVERAGE(Model!N53:O53)</f>
        <v>0.45801869296654324</v>
      </c>
      <c r="P16" s="119">
        <f>Model!P17/AVERAGE(Model!O53:P53)</f>
        <v>0.46684464296391986</v>
      </c>
      <c r="Q16" s="135">
        <f>Model!Q17/AVERAGE(Model!P53:Q53)</f>
        <v>0.47464452225702558</v>
      </c>
    </row>
    <row r="17" spans="2:17">
      <c r="B17" s="111" t="s">
        <v>251</v>
      </c>
      <c r="C17" s="119"/>
      <c r="D17" s="119">
        <f>Model!D17/AVERAGE(Model!C67:D67)</f>
        <v>0.99559613089815546</v>
      </c>
      <c r="E17" s="119">
        <f>Model!E17/AVERAGE(Model!D67:E67)</f>
        <v>0.77944137007593906</v>
      </c>
      <c r="F17" s="119">
        <f>Model!F17/AVERAGE(Model!E67:F67)</f>
        <v>0.70543216780519791</v>
      </c>
      <c r="G17" s="119">
        <f>Model!G17/AVERAGE(Model!F67:G67)</f>
        <v>0.69513478781012616</v>
      </c>
      <c r="H17" s="119">
        <f>Model!H17/AVERAGE(Model!G67:H67)</f>
        <v>0.68769021840940125</v>
      </c>
      <c r="I17" s="119">
        <f>Model!I17/AVERAGE(Model!H67:I67)</f>
        <v>0.71466522760763274</v>
      </c>
      <c r="J17" s="119">
        <f>Model!J17/AVERAGE(Model!I67:J67)</f>
        <v>0.73862724916633404</v>
      </c>
      <c r="K17" s="119">
        <f>Model!K17/AVERAGE(Model!J67:K67)</f>
        <v>0.75965078567316879</v>
      </c>
      <c r="L17" s="119">
        <f>Model!L17/AVERAGE(Model!K67:L67)</f>
        <v>0.77783579725433971</v>
      </c>
      <c r="M17" s="119">
        <f>Model!M17/AVERAGE(Model!L67:M67)</f>
        <v>0.79330315290796438</v>
      </c>
      <c r="N17" s="119">
        <f>Model!N17/AVERAGE(Model!M67:N67)</f>
        <v>0.80619004778485859</v>
      </c>
      <c r="O17" s="119">
        <f>Model!O17/AVERAGE(Model!N67:O67)</f>
        <v>0.81664559369695144</v>
      </c>
      <c r="P17" s="119">
        <f>Model!P17/AVERAGE(Model!O67:P67)</f>
        <v>0.82482673699760878</v>
      </c>
      <c r="Q17" s="135">
        <f>Model!Q17/AVERAGE(Model!P67:Q67)</f>
        <v>0.83089460677636295</v>
      </c>
    </row>
    <row r="18" spans="2:17">
      <c r="B18" s="111" t="s">
        <v>252</v>
      </c>
      <c r="C18" s="119">
        <f>Model!C19/Model!C17</f>
        <v>0.72942218030822836</v>
      </c>
      <c r="D18" s="119">
        <f>Model!D19/Model!D17</f>
        <v>0.76376381987424014</v>
      </c>
      <c r="E18" s="119">
        <f>Model!E19/Model!E17</f>
        <v>0.73253543026013668</v>
      </c>
      <c r="F18" s="119">
        <f>Model!F19/Model!F17</f>
        <v>0.74416808755642272</v>
      </c>
      <c r="G18" s="119">
        <f>Model!G19/Model!G17</f>
        <v>0.77141371572437201</v>
      </c>
      <c r="H18" s="119">
        <f>Model!H19/Model!H17</f>
        <v>0.74826064674467996</v>
      </c>
      <c r="I18" s="119">
        <f>Model!I19/Model!I17</f>
        <v>0.74826064674468007</v>
      </c>
      <c r="J18" s="119">
        <f>Model!J19/Model!J17</f>
        <v>0.74826064674467996</v>
      </c>
      <c r="K18" s="119">
        <f>Model!K19/Model!K17</f>
        <v>0.74826064674467996</v>
      </c>
      <c r="L18" s="119">
        <f>Model!L19/Model!L17</f>
        <v>0.74826064674468007</v>
      </c>
      <c r="M18" s="119">
        <f>Model!M19/Model!M17</f>
        <v>0.74826064674467996</v>
      </c>
      <c r="N18" s="119">
        <f>Model!N19/Model!N17</f>
        <v>0.74826064674468007</v>
      </c>
      <c r="O18" s="119">
        <f>Model!O19/Model!O17</f>
        <v>0.74826064674467996</v>
      </c>
      <c r="P18" s="119">
        <f>Model!P19/Model!P17</f>
        <v>0.74826064674468007</v>
      </c>
      <c r="Q18" s="135">
        <f>Model!Q19/Model!Q17</f>
        <v>0.74826064674468007</v>
      </c>
    </row>
    <row r="19" spans="2:17">
      <c r="B19" s="111" t="s">
        <v>253</v>
      </c>
      <c r="C19" s="119"/>
      <c r="D19" s="119">
        <f>Model!D19/AVERAGE(Model!C67:D67)</f>
        <v>0.76040030398678926</v>
      </c>
      <c r="E19" s="119">
        <f>Model!E19/AVERAGE(Model!D67:E67)</f>
        <v>0.57096841939112841</v>
      </c>
      <c r="F19" s="119">
        <f>Model!F19/AVERAGE(Model!E67:F67)</f>
        <v>0.52496010721637565</v>
      </c>
      <c r="G19" s="119">
        <f>Model!G19/AVERAGE(Model!F67:G67)</f>
        <v>0.53623650959388236</v>
      </c>
      <c r="H19" s="119">
        <f>Model!H19/AVERAGE(Model!G67:H67)</f>
        <v>0.51457152758700875</v>
      </c>
      <c r="I19" s="119">
        <f>Model!I19/AVERAGE(Model!H67:I67)</f>
        <v>0.53475586541562126</v>
      </c>
      <c r="J19" s="119">
        <f>Model!J19/AVERAGE(Model!I67:J67)</f>
        <v>0.55268570316444499</v>
      </c>
      <c r="K19" s="119">
        <f>Model!K19/AVERAGE(Model!J67:K67)</f>
        <v>0.56841678818790964</v>
      </c>
      <c r="L19" s="119">
        <f>Model!L19/AVERAGE(Model!K67:L67)</f>
        <v>0.582023916714696</v>
      </c>
      <c r="M19" s="119">
        <f>Model!M19/AVERAGE(Model!L67:M67)</f>
        <v>0.59359753025950712</v>
      </c>
      <c r="N19" s="119">
        <f>Model!N19/AVERAGE(Model!M67:N67)</f>
        <v>0.60324028655462281</v>
      </c>
      <c r="O19" s="119">
        <f>Model!O19/AVERAGE(Model!N67:O67)</f>
        <v>0.61106376010087404</v>
      </c>
      <c r="P19" s="119">
        <f>Model!P19/AVERAGE(Model!O67:P67)</f>
        <v>0.61718538767813491</v>
      </c>
      <c r="Q19" s="135">
        <f>Model!Q19/AVERAGE(Model!P67:Q67)</f>
        <v>0.62172573584314794</v>
      </c>
    </row>
    <row r="20" spans="2:17">
      <c r="B20" s="113" t="s">
        <v>254</v>
      </c>
      <c r="C20" s="120"/>
      <c r="D20" s="120">
        <f>(Model!D110+Model!D111-Model!D106)/(Model!D14*(1-Model!D31))</f>
        <v>3.9445020408969765E-2</v>
      </c>
      <c r="E20" s="120">
        <f>(Model!E110+Model!E111-Model!E106)/(Model!E14*(1-Model!E31))</f>
        <v>1.857347250470779E-2</v>
      </c>
      <c r="F20" s="120">
        <f>(Model!F110+Model!F111-Model!F106)/(Model!F14*(1-Model!F31))</f>
        <v>1.3550935789590383E-2</v>
      </c>
      <c r="G20" s="120">
        <f>(Model!G110+Model!G111-Model!G106)/(Model!G14*(1-Model!G31))</f>
        <v>3.4149877314994374E-3</v>
      </c>
      <c r="H20" s="120">
        <f>(Model!H110+Model!H111-Model!H106)/(Model!H14*(1-Model!H31))</f>
        <v>3.5033810322545746E-2</v>
      </c>
      <c r="I20" s="120">
        <f>(Model!I110+Model!I111-Model!I106)/(Model!I14*(1-Model!I31))</f>
        <v>-1.6561406767743755E-2</v>
      </c>
      <c r="J20" s="120">
        <f>(Model!J110+Model!J111-Model!J106)/(Model!J14*(1-Model!J31))</f>
        <v>-9.4291445177191961E-3</v>
      </c>
      <c r="K20" s="120">
        <f>(Model!K110+Model!K111-Model!K106)/(Model!K14*(1-Model!K31))</f>
        <v>-3.9303222238999741E-3</v>
      </c>
      <c r="L20" s="120">
        <f>(Model!L110+Model!L111-Model!L106)/(Model!L14*(1-Model!L31))</f>
        <v>2.8565267586634635E-4</v>
      </c>
      <c r="M20" s="120">
        <f>(Model!M110+Model!M111-Model!M106)/(Model!M14*(1-Model!M31))</f>
        <v>3.4897420050724218E-3</v>
      </c>
      <c r="N20" s="120">
        <f>(Model!N110+Model!N111-Model!N106)/(Model!N14*(1-Model!N31))</f>
        <v>5.893130032602072E-3</v>
      </c>
      <c r="O20" s="120">
        <f>(Model!O110+Model!O111-Model!O106)/(Model!O14*(1-Model!O31))</f>
        <v>7.6615846437945584E-3</v>
      </c>
      <c r="P20" s="120">
        <f>(Model!P110+Model!P111-Model!P106)/(Model!P14*(1-Model!P31))</f>
        <v>8.9260104597544201E-3</v>
      </c>
      <c r="Q20" s="120">
        <f>(Model!Q110+Model!Q111-Model!Q106)/(Model!Q14*(1-Model!Q31))</f>
        <v>9.7903105306103681E-3</v>
      </c>
    </row>
    <row r="22" spans="2:17">
      <c r="B22" s="84" t="s">
        <v>255</v>
      </c>
    </row>
    <row r="23" spans="2:17">
      <c r="B23" s="114" t="s">
        <v>256</v>
      </c>
      <c r="C23" s="123">
        <f>SUM(Model!C41:C45)/SUM(Model!C56:C57)</f>
        <v>0.84742467601573745</v>
      </c>
      <c r="D23" s="123">
        <f>SUM(Model!D41:D45)/SUM(Model!D56:D57)</f>
        <v>0.70321361058601117</v>
      </c>
      <c r="E23" s="123">
        <f>SUM(Model!E41:E45)/SUM(Model!E56:E57)</f>
        <v>0.73179023876643001</v>
      </c>
      <c r="F23" s="123">
        <f>SUM(Model!F41:F45)/SUM(Model!F56:F57)</f>
        <v>0.68346788482478238</v>
      </c>
      <c r="G23" s="123">
        <f>SUM(Model!G41:G45)/SUM(Model!G56:G57)</f>
        <v>0.7438046072145128</v>
      </c>
      <c r="H23" s="123">
        <f>SUM(Model!H41:H45)/SUM(Model!H56:H57)</f>
        <v>0.84622515542726873</v>
      </c>
      <c r="I23" s="123">
        <f>SUM(Model!I41:I45)/SUM(Model!I56:I57)</f>
        <v>0.94570188527492849</v>
      </c>
      <c r="J23" s="123">
        <f>SUM(Model!J41:J45)/SUM(Model!J56:J57)</f>
        <v>1.0377378354075533</v>
      </c>
      <c r="K23" s="123">
        <f>SUM(Model!K41:K45)/SUM(Model!K56:K57)</f>
        <v>1.1235467162527715</v>
      </c>
      <c r="L23" s="123">
        <f>SUM(Model!L41:L45)/SUM(Model!L56:L57)</f>
        <v>1.2041604704956175</v>
      </c>
      <c r="M23" s="123">
        <f>SUM(Model!M41:M45)/SUM(Model!M56:M57)</f>
        <v>1.280454777424471</v>
      </c>
      <c r="N23" s="123">
        <f>SUM(Model!N41:N45)/SUM(Model!N56:N57)</f>
        <v>1.3531715000215772</v>
      </c>
      <c r="O23" s="123">
        <f>SUM(Model!O41:O45)/SUM(Model!O56:O57)</f>
        <v>1.4229383059150773</v>
      </c>
      <c r="P23" s="123">
        <f>SUM(Model!P41:P45)/SUM(Model!P56:P57)</f>
        <v>1.4902857118056523</v>
      </c>
      <c r="Q23" s="124">
        <f>SUM(Model!Q41:Q45)/SUM(Model!Q56:Q57)</f>
        <v>1.5556618073575839</v>
      </c>
    </row>
    <row r="24" spans="2:17">
      <c r="B24" s="111" t="s">
        <v>257</v>
      </c>
      <c r="C24" s="125">
        <f>SUM(Model!C41:C43)/SUM(Model!C56:C57)</f>
        <v>0.2165467656042469</v>
      </c>
      <c r="D24" s="125">
        <f>SUM(Model!D41:D43)/SUM(Model!D56:D57)</f>
        <v>0.19492525497652768</v>
      </c>
      <c r="E24" s="125">
        <f>SUM(Model!E41:E43)/SUM(Model!E56:E57)</f>
        <v>0.28518832999354687</v>
      </c>
      <c r="F24" s="125">
        <f>SUM(Model!F41:F43)/SUM(Model!F56:F57)</f>
        <v>0.24518546199591515</v>
      </c>
      <c r="G24" s="125">
        <f>SUM(Model!G41:G43)/SUM(Model!G56:G57)</f>
        <v>0.26461049939938103</v>
      </c>
      <c r="H24" s="125">
        <f>SUM(Model!H41:H43)/SUM(Model!H56:H57)</f>
        <v>0.30927564511848776</v>
      </c>
      <c r="I24" s="125">
        <f>SUM(Model!I41:I43)/SUM(Model!I56:I57)</f>
        <v>0.39697900064669045</v>
      </c>
      <c r="J24" s="125">
        <f>SUM(Model!J41:J43)/SUM(Model!J56:J57)</f>
        <v>0.47781045686440765</v>
      </c>
      <c r="K24" s="125">
        <f>SUM(Model!K41:K43)/SUM(Model!K56:K57)</f>
        <v>0.55297553648723374</v>
      </c>
      <c r="L24" s="125">
        <f>SUM(Model!L41:L43)/SUM(Model!L56:L57)</f>
        <v>0.62349404030027233</v>
      </c>
      <c r="M24" s="125">
        <f>SUM(Model!M41:M43)/SUM(Model!M56:M57)</f>
        <v>0.69022635937938026</v>
      </c>
      <c r="N24" s="125">
        <f>SUM(Model!N41:N43)/SUM(Model!N56:N57)</f>
        <v>0.75389664774330656</v>
      </c>
      <c r="O24" s="125">
        <f>SUM(Model!O41:O43)/SUM(Model!O56:O57)</f>
        <v>0.81511308241740643</v>
      </c>
      <c r="P24" s="125">
        <f>SUM(Model!P41:P43)/SUM(Model!P56:P57)</f>
        <v>0.874385460820997</v>
      </c>
      <c r="Q24" s="126">
        <f>SUM(Model!Q41:Q43)/SUM(Model!Q56:Q57)</f>
        <v>0.93214039496721646</v>
      </c>
    </row>
    <row r="25" spans="2:17">
      <c r="B25" s="111" t="s">
        <v>258</v>
      </c>
      <c r="C25" s="125">
        <f>SUM(Model!C41:C42)/SUM(Model!C56:C57)</f>
        <v>7.7471309638034266E-2</v>
      </c>
      <c r="D25" s="125">
        <f>SUM(Model!D41:D42)/SUM(Model!D56:D57)</f>
        <v>7.3239394937092819E-2</v>
      </c>
      <c r="E25" s="125">
        <f>SUM(Model!E41:E42)/SUM(Model!E56:E57)</f>
        <v>0.15159800292089801</v>
      </c>
      <c r="F25" s="125">
        <f>SUM(Model!F41:F42)/SUM(Model!F56:F57)</f>
        <v>0.10066556276456604</v>
      </c>
      <c r="G25" s="125">
        <f>SUM(Model!G41:G42)/SUM(Model!G56:G57)</f>
        <v>0.1135024942594996</v>
      </c>
      <c r="H25" s="125">
        <f>SUM(Model!H41:H42)/SUM(Model!H56:H57)</f>
        <v>0.15763397173018875</v>
      </c>
      <c r="I25" s="125">
        <f>SUM(Model!I41:I42)/SUM(Model!I56:I57)</f>
        <v>0.24108090746278057</v>
      </c>
      <c r="J25" s="125">
        <f>SUM(Model!J41:J42)/SUM(Model!J56:J57)</f>
        <v>0.31786161082025799</v>
      </c>
      <c r="K25" s="125">
        <f>SUM(Model!K41:K42)/SUM(Model!K56:K57)</f>
        <v>0.38917864442040184</v>
      </c>
      <c r="L25" s="125">
        <f>SUM(Model!L41:L42)/SUM(Model!L56:L57)</f>
        <v>0.45604741939571303</v>
      </c>
      <c r="M25" s="125">
        <f>SUM(Model!M41:M42)/SUM(Model!M56:M57)</f>
        <v>0.51932279968525208</v>
      </c>
      <c r="N25" s="125">
        <f>SUM(Model!N41:N42)/SUM(Model!N56:N57)</f>
        <v>0.57972253699856213</v>
      </c>
      <c r="O25" s="125">
        <f>SUM(Model!O41:O42)/SUM(Model!O56:O57)</f>
        <v>0.63784776193698478</v>
      </c>
      <c r="P25" s="125">
        <f>SUM(Model!P41:P42)/SUM(Model!P56:P57)</f>
        <v>0.69420078129251561</v>
      </c>
      <c r="Q25" s="126">
        <f>SUM(Model!Q41:Q42)/SUM(Model!Q56:Q57)</f>
        <v>0.74920044227807381</v>
      </c>
    </row>
    <row r="26" spans="2:17">
      <c r="B26" s="113" t="s">
        <v>259</v>
      </c>
      <c r="C26" s="121"/>
      <c r="D26" s="121">
        <f t="shared" ref="D26:Q26" si="1">D35+D37-D39</f>
        <v>3.3866989218456354</v>
      </c>
      <c r="E26" s="121">
        <f t="shared" si="1"/>
        <v>-5.6329938764269087</v>
      </c>
      <c r="F26" s="121">
        <f t="shared" si="1"/>
        <v>-7.9924546299436585</v>
      </c>
      <c r="G26" s="121">
        <f t="shared" si="1"/>
        <v>-8.7319695376891886</v>
      </c>
      <c r="H26" s="121">
        <f t="shared" si="1"/>
        <v>-5.9287695792193063</v>
      </c>
      <c r="I26" s="121">
        <f t="shared" si="1"/>
        <v>-3.5203136689870362</v>
      </c>
      <c r="J26" s="121">
        <f t="shared" si="1"/>
        <v>-3.5239740134080861</v>
      </c>
      <c r="K26" s="121">
        <f t="shared" si="1"/>
        <v>-3.5275396877498366</v>
      </c>
      <c r="L26" s="121">
        <f t="shared" si="1"/>
        <v>-3.5310127272677505</v>
      </c>
      <c r="M26" s="121">
        <f t="shared" si="1"/>
        <v>-3.5343951465537202</v>
      </c>
      <c r="N26" s="121">
        <f t="shared" si="1"/>
        <v>-3.5376889383231926</v>
      </c>
      <c r="O26" s="121">
        <f t="shared" si="1"/>
        <v>-3.5408960723056424</v>
      </c>
      <c r="P26" s="121">
        <f t="shared" si="1"/>
        <v>-3.5440184942348196</v>
      </c>
      <c r="Q26" s="122">
        <f t="shared" si="1"/>
        <v>-3.5470581249342388</v>
      </c>
    </row>
    <row r="28" spans="2:17">
      <c r="B28" s="84" t="s">
        <v>260</v>
      </c>
    </row>
    <row r="29" spans="2:17">
      <c r="B29" s="114" t="s">
        <v>261</v>
      </c>
      <c r="C29" s="123">
        <f>Model!C53/Model!C67</f>
        <v>2.9425784762128133</v>
      </c>
      <c r="D29" s="123">
        <f>Model!D53/Model!D67</f>
        <v>2.6462947086668533</v>
      </c>
      <c r="E29" s="123">
        <f>Model!E53/Model!E67</f>
        <v>2.3020459112220668</v>
      </c>
      <c r="F29" s="123">
        <f>Model!F53/Model!F67</f>
        <v>2.0291823165860068</v>
      </c>
      <c r="G29" s="123">
        <f>Model!G53/Model!G67</f>
        <v>1.9057721832309813</v>
      </c>
      <c r="H29" s="123">
        <f>Model!H53/Model!H67</f>
        <v>1.8798436123219662</v>
      </c>
      <c r="I29" s="123">
        <f>Model!I53/Model!I67</f>
        <v>1.8666793160916664</v>
      </c>
      <c r="J29" s="123">
        <f>Model!J53/Model!J67</f>
        <v>1.8526938195656402</v>
      </c>
      <c r="K29" s="123">
        <f>Model!K53/Model!K67</f>
        <v>1.8380308378124155</v>
      </c>
      <c r="L29" s="123">
        <f>Model!L53/Model!L67</f>
        <v>1.8228253450751719</v>
      </c>
      <c r="M29" s="123">
        <f>Model!M53/Model!M67</f>
        <v>1.8072023372288419</v>
      </c>
      <c r="N29" s="123">
        <f>Model!N53/Model!N67</f>
        <v>1.7912760552821636</v>
      </c>
      <c r="O29" s="123">
        <f>Model!O53/Model!O67</f>
        <v>1.7751496172174415</v>
      </c>
      <c r="P29" s="123">
        <f>Model!P53/Model!P67</f>
        <v>1.7589149953353826</v>
      </c>
      <c r="Q29" s="124">
        <f>Model!Q53/Model!Q67</f>
        <v>1.7426532726482975</v>
      </c>
    </row>
    <row r="30" spans="2:17">
      <c r="B30" s="111" t="s">
        <v>262</v>
      </c>
      <c r="C30" s="125">
        <f>Model!C60/Model!C67</f>
        <v>0.96993862632422501</v>
      </c>
      <c r="D30" s="125">
        <f>Model!D60/Model!D67</f>
        <v>0.84808744097083699</v>
      </c>
      <c r="E30" s="125">
        <f>Model!E60/Model!E67</f>
        <v>0.52389940936491508</v>
      </c>
      <c r="F30" s="125">
        <f>Model!F60/Model!F67</f>
        <v>0.28617771573930373</v>
      </c>
      <c r="G30" s="125">
        <f>Model!G60/Model!G67</f>
        <v>0.27029546309061286</v>
      </c>
      <c r="H30" s="125">
        <f>Model!H60/Model!H67</f>
        <v>0.25833591790776822</v>
      </c>
      <c r="I30" s="125">
        <f>Model!I60/Model!I67</f>
        <v>0.2464674737066096</v>
      </c>
      <c r="J30" s="125">
        <f>Model!J60/Model!J67</f>
        <v>0.23477363970032639</v>
      </c>
      <c r="K30" s="125">
        <f>Model!K60/Model!K67</f>
        <v>0.22332530908404688</v>
      </c>
      <c r="L30" s="125">
        <f>Model!L60/Model!L67</f>
        <v>0.21218104741624069</v>
      </c>
      <c r="M30" s="125">
        <f>Model!M60/Model!M67</f>
        <v>0.20138770937520797</v>
      </c>
      <c r="N30" s="125">
        <f>Model!N60/Model!N67</f>
        <v>0.19098129765402894</v>
      </c>
      <c r="O30" s="125">
        <f>Model!O60/Model!O67</f>
        <v>0.18098798272352756</v>
      </c>
      <c r="P30" s="125">
        <f>Model!P60/Model!P67</f>
        <v>0.17142521148802617</v>
      </c>
      <c r="Q30" s="126">
        <f>Model!Q60/Model!Q67</f>
        <v>0.16230284459484243</v>
      </c>
    </row>
    <row r="31" spans="2:17">
      <c r="B31" s="113" t="s">
        <v>263</v>
      </c>
      <c r="C31" s="117">
        <f>Model!C60/SUM(Model!C60,Model!C67)</f>
        <v>0.49236997201992333</v>
      </c>
      <c r="D31" s="117">
        <f>Model!D60/SUM(Model!D60,Model!D67)</f>
        <v>0.45890006185276594</v>
      </c>
      <c r="E31" s="117">
        <f>Model!E60/SUM(Model!E60,Model!E67)</f>
        <v>0.34378870819514928</v>
      </c>
      <c r="F31" s="117">
        <f>Model!F60/SUM(Model!F60,Model!F67)</f>
        <v>0.22250246776729979</v>
      </c>
      <c r="G31" s="117">
        <f>Model!G60/SUM(Model!G60,Model!G67)</f>
        <v>0.21278157007109783</v>
      </c>
      <c r="H31" s="117">
        <f>Model!H60/SUM(Model!H60,Model!H67)</f>
        <v>0.20529964553288968</v>
      </c>
      <c r="I31" s="117">
        <f>Model!I60/SUM(Model!I60,Model!I67)</f>
        <v>0.19773277594937269</v>
      </c>
      <c r="J31" s="117">
        <f>Model!J60/SUM(Model!J60,Model!J67)</f>
        <v>0.19013496251612952</v>
      </c>
      <c r="K31" s="117">
        <f>Model!K60/SUM(Model!K60,Model!K67)</f>
        <v>0.1825559460150952</v>
      </c>
      <c r="L31" s="117">
        <f>Model!L60/SUM(Model!L60,Model!L67)</f>
        <v>0.1750407233874047</v>
      </c>
      <c r="M31" s="117">
        <f>Model!M60/SUM(Model!M60,Model!M67)</f>
        <v>0.16762924058873668</v>
      </c>
      <c r="N31" s="117">
        <f>Model!N60/SUM(Model!N60,Model!N67)</f>
        <v>0.16035625247031171</v>
      </c>
      <c r="O31" s="117">
        <f>Model!O60/SUM(Model!O60,Model!O67)</f>
        <v>0.15325133309666991</v>
      </c>
      <c r="P31" s="117">
        <f>Model!P60/SUM(Model!P60,Model!P67)</f>
        <v>0.14633901490840365</v>
      </c>
      <c r="Q31" s="127">
        <f>Model!Q60/SUM(Model!Q60,Model!Q67)</f>
        <v>0.13963903241707906</v>
      </c>
    </row>
    <row r="33" spans="2:17">
      <c r="B33" s="84" t="s">
        <v>264</v>
      </c>
      <c r="D33" s="99"/>
    </row>
    <row r="34" spans="2:17">
      <c r="B34" s="114" t="s">
        <v>265</v>
      </c>
      <c r="C34" s="110"/>
      <c r="D34" s="125">
        <f>Model!D7/AVERAGE(Model!C43:D43)</f>
        <v>49.330579387776716</v>
      </c>
      <c r="E34" s="123">
        <f>Model!E7/AVERAGE(Model!D43:E43)</f>
        <v>46.434906613870162</v>
      </c>
      <c r="F34" s="123">
        <f>Model!F7/AVERAGE(Model!E43:F43)</f>
        <v>42.622205857899615</v>
      </c>
      <c r="G34" s="123">
        <f>Model!G7/AVERAGE(Model!F43:G43)</f>
        <v>41.73277984790046</v>
      </c>
      <c r="H34" s="123">
        <f>Model!H7/AVERAGE(Model!G43:H43)</f>
        <v>43.466195734612064</v>
      </c>
      <c r="I34" s="123">
        <f>Model!I7/AVERAGE(Model!H43:I43)</f>
        <v>44.472605522730781</v>
      </c>
      <c r="J34" s="123">
        <f>Model!J7/AVERAGE(Model!I43:J43)</f>
        <v>44.426411920594198</v>
      </c>
      <c r="K34" s="123">
        <f>Model!K7/AVERAGE(Model!J43:K43)</f>
        <v>44.381505234602116</v>
      </c>
      <c r="L34" s="123">
        <f>Model!L7/AVERAGE(Model!K43:L43)</f>
        <v>44.337852398022633</v>
      </c>
      <c r="M34" s="123">
        <f>Model!M7/AVERAGE(Model!L43:M43)</f>
        <v>44.295421034003745</v>
      </c>
      <c r="N34" s="123">
        <f>Model!N7/AVERAGE(Model!M43:N43)</f>
        <v>44.254179450650746</v>
      </c>
      <c r="O34" s="123">
        <f>Model!O7/AVERAGE(Model!N43:O43)</f>
        <v>44.214096635486605</v>
      </c>
      <c r="P34" s="123">
        <f>Model!P7/AVERAGE(Model!O43:P43)</f>
        <v>44.175142249345875</v>
      </c>
      <c r="Q34" s="124">
        <f>Model!Q7/AVERAGE(Model!P43:Q43)</f>
        <v>44.137286619750419</v>
      </c>
    </row>
    <row r="35" spans="2:17">
      <c r="B35" s="111" t="s">
        <v>266</v>
      </c>
      <c r="C35" s="112"/>
      <c r="D35" s="129">
        <f>365/D34</f>
        <v>7.3990616881025488</v>
      </c>
      <c r="E35" s="129">
        <f t="shared" ref="E35:Q35" si="2">365/E34</f>
        <v>7.8604658998274815</v>
      </c>
      <c r="F35" s="129">
        <f t="shared" si="2"/>
        <v>8.5636112128239557</v>
      </c>
      <c r="G35" s="129">
        <f t="shared" si="2"/>
        <v>8.7461223846166298</v>
      </c>
      <c r="H35" s="129">
        <f t="shared" si="2"/>
        <v>8.3973302432205053</v>
      </c>
      <c r="I35" s="129">
        <f t="shared" si="2"/>
        <v>8.2072996558171454</v>
      </c>
      <c r="J35" s="129">
        <f t="shared" si="2"/>
        <v>8.2158334247740932</v>
      </c>
      <c r="K35" s="129">
        <f t="shared" si="2"/>
        <v>8.2241464788226057</v>
      </c>
      <c r="L35" s="129">
        <f t="shared" si="2"/>
        <v>8.2322435629804698</v>
      </c>
      <c r="M35" s="129">
        <f t="shared" si="2"/>
        <v>8.2401293740904897</v>
      </c>
      <c r="N35" s="129">
        <f t="shared" si="2"/>
        <v>8.2478085579922045</v>
      </c>
      <c r="O35" s="129">
        <f t="shared" si="2"/>
        <v>8.2552857069355561</v>
      </c>
      <c r="P35" s="129">
        <f t="shared" si="2"/>
        <v>8.2625653572265456</v>
      </c>
      <c r="Q35" s="130">
        <f t="shared" si="2"/>
        <v>8.2696519870949867</v>
      </c>
    </row>
    <row r="36" spans="2:17">
      <c r="B36" s="111" t="s">
        <v>267</v>
      </c>
      <c r="C36" s="112"/>
      <c r="D36" s="125">
        <f>-Model!D8/AVERAGE(Model!C44:D44)</f>
        <v>7.4910084936053902</v>
      </c>
      <c r="E36" s="125">
        <f>-Model!E8/AVERAGE(Model!D44:E44)</f>
        <v>7.995038913783227</v>
      </c>
      <c r="F36" s="125">
        <f>-Model!F8/AVERAGE(Model!E44:F44)</f>
        <v>8.7719058786547723</v>
      </c>
      <c r="G36" s="125">
        <f>-Model!G8/AVERAGE(Model!F44:G44)</f>
        <v>8.6219854091479373</v>
      </c>
      <c r="H36" s="125">
        <f>-Model!H8/AVERAGE(Model!G44:H44)</f>
        <v>8.3704201374063434</v>
      </c>
      <c r="I36" s="125">
        <f>-Model!I8/AVERAGE(Model!H44:I44)</f>
        <v>8.0725903439405471</v>
      </c>
      <c r="J36" s="125">
        <f>-Model!J8/AVERAGE(Model!I44:J44)</f>
        <v>8.0642053612714069</v>
      </c>
      <c r="K36" s="125">
        <f>-Model!K8/AVERAGE(Model!J44:K44)</f>
        <v>8.0560539773923399</v>
      </c>
      <c r="L36" s="125">
        <f>-Model!L8/AVERAGE(Model!K44:L44)</f>
        <v>8.0481301900874325</v>
      </c>
      <c r="M36" s="125">
        <f>-Model!M8/AVERAGE(Model!L44:M44)</f>
        <v>8.0404281223665723</v>
      </c>
      <c r="N36" s="125">
        <f>-Model!N8/AVERAGE(Model!M44:N44)</f>
        <v>8.0329420215719178</v>
      </c>
      <c r="O36" s="125">
        <f>-Model!O8/AVERAGE(Model!N44:O44)</f>
        <v>8.0256662583723291</v>
      </c>
      <c r="P36" s="125">
        <f>-Model!P8/AVERAGE(Model!O44:P44)</f>
        <v>8.0185953256550402</v>
      </c>
      <c r="Q36" s="126">
        <f>-Model!Q8/AVERAGE(Model!P44:Q44)</f>
        <v>8.0117238373231991</v>
      </c>
    </row>
    <row r="37" spans="2:17">
      <c r="B37" s="111" t="s">
        <v>268</v>
      </c>
      <c r="C37" s="112"/>
      <c r="D37" s="129">
        <f>365/D36</f>
        <v>48.72508158435248</v>
      </c>
      <c r="E37" s="129">
        <f t="shared" ref="E37:Q37" si="3">365/E36</f>
        <v>45.653311251650074</v>
      </c>
      <c r="F37" s="129">
        <f t="shared" si="3"/>
        <v>41.610113588676022</v>
      </c>
      <c r="G37" s="129">
        <f t="shared" si="3"/>
        <v>42.333636938510075</v>
      </c>
      <c r="H37" s="129">
        <f t="shared" si="3"/>
        <v>43.605935425972397</v>
      </c>
      <c r="I37" s="129">
        <f t="shared" si="3"/>
        <v>45.214730891674257</v>
      </c>
      <c r="J37" s="129">
        <f t="shared" si="3"/>
        <v>45.261744170470124</v>
      </c>
      <c r="K37" s="129">
        <f t="shared" si="3"/>
        <v>45.307541511551129</v>
      </c>
      <c r="L37" s="129">
        <f t="shared" si="3"/>
        <v>45.35214905563484</v>
      </c>
      <c r="M37" s="129">
        <f t="shared" si="3"/>
        <v>45.395592678038646</v>
      </c>
      <c r="N37" s="129">
        <f t="shared" si="3"/>
        <v>45.437897973098451</v>
      </c>
      <c r="O37" s="129">
        <f t="shared" si="3"/>
        <v>45.479090239920467</v>
      </c>
      <c r="P37" s="129">
        <f t="shared" si="3"/>
        <v>45.519194469410778</v>
      </c>
      <c r="Q37" s="130">
        <f t="shared" si="3"/>
        <v>45.558235332528675</v>
      </c>
    </row>
    <row r="38" spans="2:17">
      <c r="B38" s="111" t="s">
        <v>269</v>
      </c>
      <c r="C38" s="112"/>
      <c r="D38" s="125">
        <f>-Model!D8/AVERAGE(Model!C56:D56)</f>
        <v>6.9210786471449923</v>
      </c>
      <c r="E38" s="125">
        <f>-Model!E8/AVERAGE(Model!D56:E56)</f>
        <v>6.1710892016032295</v>
      </c>
      <c r="F38" s="125">
        <f>-Model!F8/AVERAGE(Model!E56:F56)</f>
        <v>6.2751241970464928</v>
      </c>
      <c r="G38" s="125">
        <f>-Model!G8/AVERAGE(Model!F56:G56)</f>
        <v>6.1024820206981225</v>
      </c>
      <c r="H38" s="125">
        <f>-Model!H8/AVERAGE(Model!G56:H56)</f>
        <v>6.3004863964278535</v>
      </c>
      <c r="I38" s="125">
        <f>-Model!I8/AVERAGE(Model!H56:I56)</f>
        <v>6.409992511238646</v>
      </c>
      <c r="J38" s="125">
        <f>-Model!J8/AVERAGE(Model!I56:J56)</f>
        <v>6.4033344654533302</v>
      </c>
      <c r="K38" s="125">
        <f>-Model!K8/AVERAGE(Model!J56:K56)</f>
        <v>6.3968619074025863</v>
      </c>
      <c r="L38" s="125">
        <f>-Model!L8/AVERAGE(Model!K56:L56)</f>
        <v>6.3905700710624407</v>
      </c>
      <c r="M38" s="125">
        <f>-Model!M8/AVERAGE(Model!L56:M56)</f>
        <v>6.3844542898437373</v>
      </c>
      <c r="N38" s="125">
        <f>-Model!N8/AVERAGE(Model!M56:N56)</f>
        <v>6.3785099958826112</v>
      </c>
      <c r="O38" s="125">
        <f>-Model!O8/AVERAGE(Model!N56:O56)</f>
        <v>6.3727327192420464</v>
      </c>
      <c r="P38" s="125">
        <f>-Model!P8/AVERAGE(Model!O56:P56)</f>
        <v>6.3671180870317912</v>
      </c>
      <c r="Q38" s="126">
        <f>-Model!Q8/AVERAGE(Model!P56:Q56)</f>
        <v>6.3616618224535637</v>
      </c>
    </row>
    <row r="39" spans="2:17">
      <c r="B39" s="111" t="s">
        <v>270</v>
      </c>
      <c r="C39" s="112"/>
      <c r="D39" s="129">
        <f>365/D38</f>
        <v>52.737444350609394</v>
      </c>
      <c r="E39" s="129">
        <f t="shared" ref="E39:Q39" si="4">365/E38</f>
        <v>59.146771027904464</v>
      </c>
      <c r="F39" s="129">
        <f t="shared" si="4"/>
        <v>58.166179431443638</v>
      </c>
      <c r="G39" s="129">
        <f t="shared" si="4"/>
        <v>59.811728860815897</v>
      </c>
      <c r="H39" s="129">
        <f t="shared" si="4"/>
        <v>57.932035248412205</v>
      </c>
      <c r="I39" s="129">
        <f t="shared" si="4"/>
        <v>56.942344216478439</v>
      </c>
      <c r="J39" s="129">
        <f t="shared" si="4"/>
        <v>57.001551608652299</v>
      </c>
      <c r="K39" s="129">
        <f t="shared" si="4"/>
        <v>57.05922767812357</v>
      </c>
      <c r="L39" s="129">
        <f t="shared" si="4"/>
        <v>57.115405345883062</v>
      </c>
      <c r="M39" s="129">
        <f t="shared" si="4"/>
        <v>57.17011719868286</v>
      </c>
      <c r="N39" s="129">
        <f t="shared" si="4"/>
        <v>57.223395469413852</v>
      </c>
      <c r="O39" s="129">
        <f t="shared" si="4"/>
        <v>57.275272019161662</v>
      </c>
      <c r="P39" s="129">
        <f t="shared" si="4"/>
        <v>57.325778320872146</v>
      </c>
      <c r="Q39" s="130">
        <f t="shared" si="4"/>
        <v>57.374945444557902</v>
      </c>
    </row>
    <row r="40" spans="2:17">
      <c r="B40" s="113" t="s">
        <v>271</v>
      </c>
      <c r="C40" s="99"/>
      <c r="D40" s="128">
        <f>Model!D7/AVERAGE(Model!C48:D48)</f>
        <v>6.861222771756287</v>
      </c>
      <c r="E40" s="128">
        <f>Model!E7/AVERAGE(Model!D48:E48)</f>
        <v>6.169959049115306</v>
      </c>
      <c r="F40" s="128">
        <f>Model!F7/AVERAGE(Model!E48:F48)</f>
        <v>6.3282363459697004</v>
      </c>
      <c r="G40" s="128">
        <f>Model!G7/AVERAGE(Model!F48:G48)</f>
        <v>6.8488671698288641</v>
      </c>
      <c r="H40" s="128">
        <f>Model!H7/AVERAGE(Model!G48:H48)</f>
        <v>7.6452963777169369</v>
      </c>
      <c r="I40" s="128">
        <f>Model!I7/AVERAGE(Model!H48:I48)</f>
        <v>8.4252847363942216</v>
      </c>
      <c r="J40" s="128">
        <f>Model!J7/AVERAGE(Model!I48:J48)</f>
        <v>9.205319809786122</v>
      </c>
      <c r="K40" s="128">
        <f>Model!K7/AVERAGE(Model!J48:K48)</f>
        <v>9.976909709383893</v>
      </c>
      <c r="L40" s="128">
        <f>Model!L7/AVERAGE(Model!K48:L48)</f>
        <v>10.733019130957745</v>
      </c>
      <c r="M40" s="128">
        <f>Model!M7/AVERAGE(Model!L48:M48)</f>
        <v>11.468275158071666</v>
      </c>
      <c r="N40" s="128">
        <f>Model!N7/AVERAGE(Model!M48:N48)</f>
        <v>12.179000632714427</v>
      </c>
      <c r="O40" s="128">
        <f>Model!O7/AVERAGE(Model!N48:O48)</f>
        <v>12.863108918555278</v>
      </c>
      <c r="P40" s="128">
        <f>Model!P7/AVERAGE(Model!O48:P48)</f>
        <v>13.519904484521605</v>
      </c>
      <c r="Q40" s="131">
        <f>Model!Q7/AVERAGE(Model!P48:Q48)</f>
        <v>14.149833690444563</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K2480"/>
  <sheetViews>
    <sheetView showGridLines="0" workbookViewId="0">
      <selection activeCell="H9" sqref="H9"/>
    </sheetView>
  </sheetViews>
  <sheetFormatPr defaultRowHeight="14.5"/>
  <cols>
    <col min="1" max="1" width="1.81640625" customWidth="1"/>
    <col min="2" max="3" width="12.6328125" customWidth="1"/>
    <col min="8" max="8" width="10.26953125" bestFit="1" customWidth="1"/>
  </cols>
  <sheetData>
    <row r="2" spans="2:11" ht="21">
      <c r="B2" s="185" t="str">
        <f>'Ratio Analysis'!B2</f>
        <v>Britannia Industries Ltd</v>
      </c>
      <c r="C2" s="183"/>
      <c r="D2" s="183"/>
      <c r="E2" s="183"/>
      <c r="F2" s="183"/>
      <c r="G2" s="183"/>
      <c r="H2" s="183"/>
      <c r="I2" s="183"/>
      <c r="J2" s="183"/>
      <c r="K2" s="183"/>
    </row>
    <row r="3" spans="2:11">
      <c r="B3" s="184" t="s">
        <v>317</v>
      </c>
      <c r="C3" s="183"/>
      <c r="D3" s="183"/>
      <c r="E3" s="183"/>
      <c r="F3" s="183"/>
      <c r="G3" s="183"/>
      <c r="H3" s="183"/>
      <c r="I3" s="183"/>
      <c r="J3" s="183"/>
      <c r="K3" s="183"/>
    </row>
    <row r="5" spans="2:11">
      <c r="B5" s="184"/>
      <c r="C5" s="189" t="s">
        <v>319</v>
      </c>
    </row>
    <row r="6" spans="2:11" ht="15" thickBot="1">
      <c r="B6" s="189" t="s">
        <v>318</v>
      </c>
      <c r="C6" s="189" t="s">
        <v>320</v>
      </c>
    </row>
    <row r="7" spans="2:11">
      <c r="B7" s="197">
        <v>46290</v>
      </c>
      <c r="C7" s="198">
        <v>35161.85</v>
      </c>
      <c r="F7" s="192" t="s">
        <v>321</v>
      </c>
      <c r="G7" s="195"/>
      <c r="H7" s="190" t="s">
        <v>324</v>
      </c>
    </row>
    <row r="8" spans="2:11">
      <c r="B8" s="197">
        <v>46289</v>
      </c>
      <c r="C8" s="198">
        <v>35044.239999999998</v>
      </c>
      <c r="F8" s="193" t="s">
        <v>322</v>
      </c>
      <c r="G8" s="186"/>
      <c r="H8" s="199">
        <f>YEARFRAC(B7,B2480)</f>
        <v>9.9944444444444436</v>
      </c>
    </row>
    <row r="9" spans="2:11" ht="15" thickBot="1">
      <c r="B9" s="197">
        <v>46288</v>
      </c>
      <c r="C9" s="198">
        <v>35627.25</v>
      </c>
      <c r="F9" s="194" t="s">
        <v>323</v>
      </c>
      <c r="G9" s="196"/>
      <c r="H9" s="191">
        <f>(C7/C2480)^(1/H8)-1</f>
        <v>0.11613538618153751</v>
      </c>
    </row>
    <row r="10" spans="2:11">
      <c r="B10" s="197">
        <v>46287</v>
      </c>
      <c r="C10" s="198">
        <v>35448.239999999998</v>
      </c>
    </row>
    <row r="11" spans="2:11">
      <c r="B11" s="197">
        <v>46286</v>
      </c>
      <c r="C11" s="198">
        <v>35577.9</v>
      </c>
    </row>
    <row r="12" spans="2:11">
      <c r="B12" s="197">
        <v>46283</v>
      </c>
      <c r="C12" s="198">
        <v>35474.68</v>
      </c>
    </row>
    <row r="13" spans="2:11">
      <c r="B13" s="197">
        <v>46282</v>
      </c>
      <c r="C13" s="198">
        <v>35359.550000000003</v>
      </c>
    </row>
    <row r="14" spans="2:11">
      <c r="B14" s="197">
        <v>46281</v>
      </c>
      <c r="C14" s="198">
        <v>35279</v>
      </c>
    </row>
    <row r="15" spans="2:11">
      <c r="B15" s="197">
        <v>46280</v>
      </c>
      <c r="C15" s="198">
        <v>35128.550000000003</v>
      </c>
    </row>
    <row r="16" spans="2:11">
      <c r="B16" s="197">
        <v>46276</v>
      </c>
      <c r="C16" s="198">
        <v>35553.300000000003</v>
      </c>
    </row>
    <row r="17" spans="2:3">
      <c r="B17" s="197">
        <v>46275</v>
      </c>
      <c r="C17" s="198">
        <v>35674.370000000003</v>
      </c>
    </row>
    <row r="18" spans="2:3">
      <c r="B18" s="197">
        <v>46274</v>
      </c>
      <c r="C18" s="198">
        <v>35604.019999999997</v>
      </c>
    </row>
    <row r="19" spans="2:3">
      <c r="B19" s="197">
        <v>46273</v>
      </c>
      <c r="C19" s="198">
        <v>35913.370000000003</v>
      </c>
    </row>
    <row r="20" spans="2:3">
      <c r="B20" s="197">
        <v>46272</v>
      </c>
      <c r="C20" s="198">
        <v>36132.239999999998</v>
      </c>
    </row>
    <row r="21" spans="2:3">
      <c r="B21" s="197">
        <v>46269</v>
      </c>
      <c r="C21" s="198">
        <v>36312.44</v>
      </c>
    </row>
    <row r="22" spans="2:3">
      <c r="B22" s="197">
        <v>46268</v>
      </c>
      <c r="C22" s="198">
        <v>36270.120000000003</v>
      </c>
    </row>
    <row r="23" spans="2:3">
      <c r="B23" s="197">
        <v>46267</v>
      </c>
      <c r="C23" s="198">
        <v>36332.379999999997</v>
      </c>
    </row>
    <row r="24" spans="2:3">
      <c r="B24" s="197">
        <v>46266</v>
      </c>
      <c r="C24" s="198">
        <v>36541.61</v>
      </c>
    </row>
    <row r="25" spans="2:3">
      <c r="B25" s="197">
        <v>46265</v>
      </c>
      <c r="C25" s="198">
        <v>36579</v>
      </c>
    </row>
    <row r="26" spans="2:3">
      <c r="B26" s="197">
        <v>46262</v>
      </c>
      <c r="C26" s="198">
        <v>36723.65</v>
      </c>
    </row>
    <row r="27" spans="2:3">
      <c r="B27" s="197">
        <v>46261</v>
      </c>
      <c r="C27" s="198">
        <v>36594.870000000003</v>
      </c>
    </row>
    <row r="28" spans="2:3">
      <c r="B28" s="197">
        <v>46260</v>
      </c>
      <c r="C28" s="198">
        <v>36772.39</v>
      </c>
    </row>
    <row r="29" spans="2:3">
      <c r="B29" s="197">
        <v>46259</v>
      </c>
      <c r="C29" s="198">
        <v>36965.040000000001</v>
      </c>
    </row>
    <row r="30" spans="2:3">
      <c r="B30" s="197">
        <v>46258</v>
      </c>
      <c r="C30" s="198">
        <v>36789.58</v>
      </c>
    </row>
    <row r="31" spans="2:3">
      <c r="B31" s="197">
        <v>46255</v>
      </c>
      <c r="C31" s="198">
        <v>36839.599999999999</v>
      </c>
    </row>
    <row r="32" spans="2:3">
      <c r="B32" s="197">
        <v>46254</v>
      </c>
      <c r="C32" s="198">
        <v>36808.99</v>
      </c>
    </row>
    <row r="33" spans="2:3">
      <c r="B33" s="197">
        <v>46253</v>
      </c>
      <c r="C33" s="198">
        <v>36575.78</v>
      </c>
    </row>
    <row r="34" spans="2:3">
      <c r="B34" s="197">
        <v>46252</v>
      </c>
      <c r="C34" s="198">
        <v>36692.129999999997</v>
      </c>
    </row>
    <row r="35" spans="2:3">
      <c r="B35" s="197">
        <v>46251</v>
      </c>
      <c r="C35" s="198">
        <v>36893.769999999997</v>
      </c>
    </row>
    <row r="36" spans="2:3">
      <c r="B36" s="197">
        <v>46248</v>
      </c>
      <c r="C36" s="198">
        <v>37012.79</v>
      </c>
    </row>
    <row r="37" spans="2:3">
      <c r="B37" s="197">
        <v>46247</v>
      </c>
      <c r="C37" s="198">
        <v>37057.800000000003</v>
      </c>
    </row>
    <row r="38" spans="2:3">
      <c r="B38" s="197">
        <v>46246</v>
      </c>
      <c r="C38" s="198">
        <v>37116.199999999997</v>
      </c>
    </row>
    <row r="39" spans="2:3">
      <c r="B39" s="197">
        <v>46245</v>
      </c>
      <c r="C39" s="198">
        <v>37170.47</v>
      </c>
    </row>
    <row r="40" spans="2:3">
      <c r="B40" s="197">
        <v>46244</v>
      </c>
      <c r="C40" s="198">
        <v>37340.74</v>
      </c>
    </row>
    <row r="41" spans="2:3">
      <c r="B41" s="197">
        <v>46241</v>
      </c>
      <c r="C41" s="198">
        <v>37320.160000000003</v>
      </c>
    </row>
    <row r="42" spans="2:3">
      <c r="B42" s="197">
        <v>46240</v>
      </c>
      <c r="C42" s="198">
        <v>37412.019999999997</v>
      </c>
    </row>
    <row r="43" spans="2:3">
      <c r="B43" s="197">
        <v>46239</v>
      </c>
      <c r="C43" s="198">
        <v>37394.79</v>
      </c>
    </row>
    <row r="44" spans="2:3">
      <c r="B44" s="197">
        <v>46238</v>
      </c>
      <c r="C44" s="198">
        <v>37379.99</v>
      </c>
    </row>
    <row r="45" spans="2:3">
      <c r="B45" s="197">
        <v>46237</v>
      </c>
      <c r="C45" s="198">
        <v>37622.04</v>
      </c>
    </row>
    <row r="46" spans="2:3">
      <c r="B46" s="197">
        <v>46234</v>
      </c>
      <c r="C46" s="198">
        <v>37000.720000000001</v>
      </c>
    </row>
    <row r="47" spans="2:3">
      <c r="B47" s="197">
        <v>46233</v>
      </c>
      <c r="C47" s="198">
        <v>36891.81</v>
      </c>
    </row>
    <row r="48" spans="2:3">
      <c r="B48" s="197">
        <v>46232</v>
      </c>
      <c r="C48" s="198">
        <v>36790.18</v>
      </c>
    </row>
    <row r="49" spans="2:3">
      <c r="B49" s="197">
        <v>46231</v>
      </c>
      <c r="C49" s="198">
        <v>36388.43</v>
      </c>
    </row>
    <row r="50" spans="2:3">
      <c r="B50" s="197">
        <v>46230</v>
      </c>
      <c r="C50" s="198">
        <v>36404.480000000003</v>
      </c>
    </row>
    <row r="51" spans="2:3">
      <c r="B51" s="197">
        <v>46227</v>
      </c>
      <c r="C51" s="198">
        <v>36055.94</v>
      </c>
    </row>
    <row r="52" spans="2:3">
      <c r="B52" s="197">
        <v>46226</v>
      </c>
      <c r="C52" s="198">
        <v>36186.61</v>
      </c>
    </row>
    <row r="53" spans="2:3">
      <c r="B53" s="197">
        <v>46225</v>
      </c>
      <c r="C53" s="198">
        <v>36378.67</v>
      </c>
    </row>
    <row r="54" spans="2:3">
      <c r="B54" s="197">
        <v>46224</v>
      </c>
      <c r="C54" s="198">
        <v>36668.86</v>
      </c>
    </row>
    <row r="55" spans="2:3">
      <c r="B55" s="197">
        <v>46223</v>
      </c>
      <c r="C55" s="198">
        <v>36745.919999999998</v>
      </c>
    </row>
    <row r="56" spans="2:3">
      <c r="B56" s="197">
        <v>46220</v>
      </c>
      <c r="C56" s="198">
        <v>36891.14</v>
      </c>
    </row>
    <row r="57" spans="2:3">
      <c r="B57" s="197">
        <v>46219</v>
      </c>
      <c r="C57" s="198">
        <v>36488.9</v>
      </c>
    </row>
    <row r="58" spans="2:3">
      <c r="B58" s="197">
        <v>46218</v>
      </c>
      <c r="C58" s="198">
        <v>36497.589999999997</v>
      </c>
    </row>
    <row r="59" spans="2:3">
      <c r="B59" s="197">
        <v>46217</v>
      </c>
      <c r="C59" s="198">
        <v>36453.46</v>
      </c>
    </row>
    <row r="60" spans="2:3">
      <c r="B60" s="197">
        <v>46216</v>
      </c>
      <c r="C60" s="198">
        <v>36694.400000000001</v>
      </c>
    </row>
    <row r="61" spans="2:3">
      <c r="B61" s="197">
        <v>46213</v>
      </c>
      <c r="C61" s="198">
        <v>36688.15</v>
      </c>
    </row>
    <row r="62" spans="2:3">
      <c r="B62" s="197">
        <v>46212</v>
      </c>
      <c r="C62" s="198">
        <v>36311.620000000003</v>
      </c>
    </row>
    <row r="63" spans="2:3">
      <c r="B63" s="197">
        <v>46211</v>
      </c>
      <c r="C63" s="198">
        <v>36187.26</v>
      </c>
    </row>
    <row r="64" spans="2:3">
      <c r="B64" s="197">
        <v>46210</v>
      </c>
      <c r="C64" s="198">
        <v>36970.129999999997</v>
      </c>
    </row>
    <row r="65" spans="2:3">
      <c r="B65" s="197">
        <v>46209</v>
      </c>
      <c r="C65" s="198">
        <v>37014.1</v>
      </c>
    </row>
    <row r="66" spans="2:3">
      <c r="B66" s="197">
        <v>46206</v>
      </c>
      <c r="C66" s="198">
        <v>36772.46</v>
      </c>
    </row>
    <row r="67" spans="2:3">
      <c r="B67" s="197">
        <v>46205</v>
      </c>
      <c r="C67" s="198">
        <v>36615.31</v>
      </c>
    </row>
    <row r="68" spans="2:3">
      <c r="B68" s="197">
        <v>46204</v>
      </c>
      <c r="C68" s="198">
        <v>36358.080000000002</v>
      </c>
    </row>
    <row r="69" spans="2:3">
      <c r="B69" s="197">
        <v>46203</v>
      </c>
      <c r="C69" s="198">
        <v>36145.879999999997</v>
      </c>
    </row>
    <row r="70" spans="2:3">
      <c r="B70" s="197">
        <v>46202</v>
      </c>
      <c r="C70" s="198">
        <v>36262.15</v>
      </c>
    </row>
    <row r="71" spans="2:3">
      <c r="B71" s="197">
        <v>46198</v>
      </c>
      <c r="C71" s="198">
        <v>36428.370000000003</v>
      </c>
    </row>
    <row r="72" spans="2:3">
      <c r="B72" s="197">
        <v>46197</v>
      </c>
      <c r="C72" s="198">
        <v>36376.39</v>
      </c>
    </row>
    <row r="73" spans="2:3">
      <c r="B73" s="197">
        <v>46196</v>
      </c>
      <c r="C73" s="198">
        <v>36077.17</v>
      </c>
    </row>
    <row r="74" spans="2:3">
      <c r="B74" s="197">
        <v>46195</v>
      </c>
      <c r="C74" s="198">
        <v>36489.39</v>
      </c>
    </row>
    <row r="75" spans="2:3">
      <c r="B75" s="197">
        <v>46192</v>
      </c>
      <c r="C75" s="198">
        <v>36353.449999999997</v>
      </c>
    </row>
    <row r="76" spans="2:3">
      <c r="B76" s="197">
        <v>46191</v>
      </c>
      <c r="C76" s="198">
        <v>36519.019999999997</v>
      </c>
    </row>
    <row r="77" spans="2:3">
      <c r="B77" s="197">
        <v>46190</v>
      </c>
      <c r="C77" s="198">
        <v>36394.660000000003</v>
      </c>
    </row>
    <row r="78" spans="2:3">
      <c r="B78" s="197">
        <v>46189</v>
      </c>
      <c r="C78" s="198">
        <v>36248.81</v>
      </c>
    </row>
    <row r="79" spans="2:3">
      <c r="B79" s="197">
        <v>46188</v>
      </c>
      <c r="C79" s="198">
        <v>36044.400000000001</v>
      </c>
    </row>
    <row r="80" spans="2:3">
      <c r="B80" s="197">
        <v>46185</v>
      </c>
      <c r="C80" s="198">
        <v>35695.33</v>
      </c>
    </row>
    <row r="81" spans="2:3">
      <c r="B81" s="197">
        <v>46184</v>
      </c>
      <c r="C81" s="198">
        <v>34985.25</v>
      </c>
    </row>
    <row r="82" spans="2:3">
      <c r="B82" s="197">
        <v>46183</v>
      </c>
      <c r="C82" s="198">
        <v>35065.85</v>
      </c>
    </row>
    <row r="83" spans="2:3">
      <c r="B83" s="197">
        <v>46182</v>
      </c>
      <c r="C83" s="198">
        <v>35106.89</v>
      </c>
    </row>
    <row r="84" spans="2:3">
      <c r="B84" s="197">
        <v>46181</v>
      </c>
      <c r="C84" s="198">
        <v>34926.959999999999</v>
      </c>
    </row>
    <row r="85" spans="2:3">
      <c r="B85" s="197">
        <v>46178</v>
      </c>
      <c r="C85" s="198">
        <v>35295.11</v>
      </c>
    </row>
    <row r="86" spans="2:3">
      <c r="B86" s="197">
        <v>46177</v>
      </c>
      <c r="C86" s="198">
        <v>35354.58</v>
      </c>
    </row>
    <row r="87" spans="2:3">
      <c r="B87" s="197">
        <v>46176</v>
      </c>
      <c r="C87" s="198">
        <v>35338.07</v>
      </c>
    </row>
    <row r="88" spans="2:3">
      <c r="B88" s="197">
        <v>46175</v>
      </c>
      <c r="C88" s="198">
        <v>35455.730000000003</v>
      </c>
    </row>
    <row r="89" spans="2:3">
      <c r="B89" s="197">
        <v>46174</v>
      </c>
      <c r="C89" s="198">
        <v>35303.300000000003</v>
      </c>
    </row>
    <row r="90" spans="2:3">
      <c r="B90" s="197">
        <v>46171</v>
      </c>
      <c r="C90" s="198">
        <v>35552.639999999999</v>
      </c>
    </row>
    <row r="91" spans="2:3">
      <c r="B91" s="197">
        <v>46169</v>
      </c>
      <c r="C91" s="198">
        <v>36089.71</v>
      </c>
    </row>
    <row r="92" spans="2:3">
      <c r="B92" s="197">
        <v>46168</v>
      </c>
      <c r="C92" s="198">
        <v>36099.61</v>
      </c>
    </row>
    <row r="93" spans="2:3">
      <c r="B93" s="197">
        <v>46167</v>
      </c>
      <c r="C93" s="198">
        <v>36277.769999999997</v>
      </c>
    </row>
    <row r="94" spans="2:3">
      <c r="B94" s="197">
        <v>46164</v>
      </c>
      <c r="C94" s="198">
        <v>35793.78</v>
      </c>
    </row>
    <row r="95" spans="2:3">
      <c r="B95" s="197">
        <v>46163</v>
      </c>
      <c r="C95" s="198">
        <v>35681.64</v>
      </c>
    </row>
    <row r="96" spans="2:3">
      <c r="B96" s="197">
        <v>46162</v>
      </c>
      <c r="C96" s="198">
        <v>35688.120000000003</v>
      </c>
    </row>
    <row r="97" spans="2:3">
      <c r="B97" s="197">
        <v>46161</v>
      </c>
      <c r="C97" s="198">
        <v>35626.29</v>
      </c>
    </row>
    <row r="98" spans="2:3">
      <c r="B98" s="197">
        <v>46160</v>
      </c>
      <c r="C98" s="198">
        <v>35674.46</v>
      </c>
    </row>
    <row r="99" spans="2:3">
      <c r="B99" s="197">
        <v>46157</v>
      </c>
      <c r="C99" s="198">
        <v>35664.76</v>
      </c>
    </row>
    <row r="100" spans="2:3">
      <c r="B100" s="197">
        <v>46156</v>
      </c>
      <c r="C100" s="198">
        <v>35710.57</v>
      </c>
    </row>
    <row r="101" spans="2:3">
      <c r="B101" s="197">
        <v>46155</v>
      </c>
      <c r="C101" s="198">
        <v>35293.050000000003</v>
      </c>
    </row>
    <row r="102" spans="2:3">
      <c r="B102" s="197">
        <v>46154</v>
      </c>
      <c r="C102" s="198">
        <v>35243.17</v>
      </c>
    </row>
    <row r="103" spans="2:3">
      <c r="B103" s="197">
        <v>46153</v>
      </c>
      <c r="C103" s="198">
        <v>35900.870000000003</v>
      </c>
    </row>
    <row r="104" spans="2:3">
      <c r="B104" s="197">
        <v>46150</v>
      </c>
      <c r="C104" s="198">
        <v>36444.03</v>
      </c>
    </row>
    <row r="105" spans="2:3">
      <c r="B105" s="197">
        <v>46149</v>
      </c>
      <c r="C105" s="198">
        <v>36670.879999999997</v>
      </c>
    </row>
    <row r="106" spans="2:3">
      <c r="B106" s="197">
        <v>46148</v>
      </c>
      <c r="C106" s="198">
        <v>36677.360000000001</v>
      </c>
    </row>
    <row r="107" spans="2:3">
      <c r="B107" s="197">
        <v>46147</v>
      </c>
      <c r="C107" s="198">
        <v>36227.97</v>
      </c>
    </row>
    <row r="108" spans="2:3">
      <c r="B108" s="197">
        <v>46146</v>
      </c>
      <c r="C108" s="198">
        <v>36358.33</v>
      </c>
    </row>
    <row r="109" spans="2:3">
      <c r="B109" s="197">
        <v>46142</v>
      </c>
      <c r="C109" s="198">
        <v>36174.800000000003</v>
      </c>
    </row>
    <row r="110" spans="2:3">
      <c r="B110" s="197">
        <v>46141</v>
      </c>
      <c r="C110" s="198">
        <v>36446.26</v>
      </c>
    </row>
    <row r="111" spans="2:3">
      <c r="B111" s="197">
        <v>46140</v>
      </c>
      <c r="C111" s="198">
        <v>36172.04</v>
      </c>
    </row>
    <row r="112" spans="2:3">
      <c r="B112" s="197">
        <v>46139</v>
      </c>
      <c r="C112" s="198">
        <v>36318.25</v>
      </c>
    </row>
    <row r="113" spans="2:3">
      <c r="B113" s="197">
        <v>46136</v>
      </c>
      <c r="C113" s="198">
        <v>36024.639999999999</v>
      </c>
    </row>
    <row r="114" spans="2:3">
      <c r="B114" s="197">
        <v>46135</v>
      </c>
      <c r="C114" s="198">
        <v>36430.959999999999</v>
      </c>
    </row>
    <row r="115" spans="2:3">
      <c r="B115" s="197">
        <v>46134</v>
      </c>
      <c r="C115" s="198">
        <v>36739.93</v>
      </c>
    </row>
    <row r="116" spans="2:3">
      <c r="B116" s="197">
        <v>46133</v>
      </c>
      <c r="C116" s="198">
        <v>37039.120000000003</v>
      </c>
    </row>
    <row r="117" spans="2:3">
      <c r="B117" s="197">
        <v>46132</v>
      </c>
      <c r="C117" s="198">
        <v>36719.99</v>
      </c>
    </row>
    <row r="118" spans="2:3">
      <c r="B118" s="197">
        <v>46129</v>
      </c>
      <c r="C118" s="198">
        <v>36702.93</v>
      </c>
    </row>
    <row r="119" spans="2:3">
      <c r="B119" s="197">
        <v>46128</v>
      </c>
      <c r="C119" s="198">
        <v>36466.620000000003</v>
      </c>
    </row>
    <row r="120" spans="2:3">
      <c r="B120" s="197">
        <v>46127</v>
      </c>
      <c r="C120" s="198">
        <v>36518.69</v>
      </c>
    </row>
    <row r="121" spans="2:3">
      <c r="B121" s="197">
        <v>46125</v>
      </c>
      <c r="C121" s="198">
        <v>35932.959999999999</v>
      </c>
    </row>
    <row r="122" spans="2:3">
      <c r="B122" s="197">
        <v>46122</v>
      </c>
      <c r="C122" s="198">
        <v>36246.400000000001</v>
      </c>
    </row>
    <row r="123" spans="2:3">
      <c r="B123" s="197">
        <v>46121</v>
      </c>
      <c r="C123" s="198">
        <v>35831.22</v>
      </c>
    </row>
    <row r="124" spans="2:3">
      <c r="B124" s="197">
        <v>46120</v>
      </c>
      <c r="C124" s="198">
        <v>36166.14</v>
      </c>
    </row>
    <row r="125" spans="2:3">
      <c r="B125" s="197">
        <v>46119</v>
      </c>
      <c r="C125" s="198">
        <v>34849.410000000003</v>
      </c>
    </row>
    <row r="126" spans="2:3">
      <c r="B126" s="197">
        <v>46118</v>
      </c>
      <c r="C126" s="198">
        <v>34615.19</v>
      </c>
    </row>
    <row r="127" spans="2:3">
      <c r="B127" s="197">
        <v>46114</v>
      </c>
      <c r="C127" s="198">
        <v>34230.629999999997</v>
      </c>
    </row>
    <row r="128" spans="2:3">
      <c r="B128" s="197">
        <v>46113</v>
      </c>
      <c r="C128" s="198">
        <v>34179.9</v>
      </c>
    </row>
    <row r="129" spans="2:3">
      <c r="B129" s="197">
        <v>46111</v>
      </c>
      <c r="C129" s="198">
        <v>33655.43</v>
      </c>
    </row>
    <row r="130" spans="2:3">
      <c r="B130" s="197">
        <v>46108</v>
      </c>
      <c r="C130" s="198">
        <v>34391.129999999997</v>
      </c>
    </row>
    <row r="131" spans="2:3">
      <c r="B131" s="197">
        <v>46106</v>
      </c>
      <c r="C131" s="198">
        <v>35124.870000000003</v>
      </c>
    </row>
    <row r="132" spans="2:3">
      <c r="B132" s="197">
        <v>46105</v>
      </c>
      <c r="C132" s="198">
        <v>34530.99</v>
      </c>
    </row>
    <row r="133" spans="2:3">
      <c r="B133" s="197">
        <v>46104</v>
      </c>
      <c r="C133" s="198">
        <v>33928.589999999997</v>
      </c>
    </row>
    <row r="134" spans="2:3">
      <c r="B134" s="197">
        <v>46101</v>
      </c>
      <c r="C134" s="198">
        <v>34835.629999999997</v>
      </c>
    </row>
    <row r="135" spans="2:3">
      <c r="B135" s="197">
        <v>46100</v>
      </c>
      <c r="C135" s="198">
        <v>34666.28</v>
      </c>
    </row>
    <row r="136" spans="2:3">
      <c r="B136" s="197">
        <v>46099</v>
      </c>
      <c r="C136" s="198">
        <v>35835.24</v>
      </c>
    </row>
    <row r="137" spans="2:3">
      <c r="B137" s="197">
        <v>46098</v>
      </c>
      <c r="C137" s="198">
        <v>35538.92</v>
      </c>
    </row>
    <row r="138" spans="2:3">
      <c r="B138" s="197">
        <v>46097</v>
      </c>
      <c r="C138" s="198">
        <v>35279.17</v>
      </c>
    </row>
    <row r="139" spans="2:3">
      <c r="B139" s="197">
        <v>46094</v>
      </c>
      <c r="C139" s="198">
        <v>34890.78</v>
      </c>
    </row>
    <row r="140" spans="2:3">
      <c r="B140" s="197">
        <v>46093</v>
      </c>
      <c r="C140" s="198">
        <v>35626.269999999997</v>
      </c>
    </row>
    <row r="141" spans="2:3">
      <c r="B141" s="197">
        <v>46092</v>
      </c>
      <c r="C141" s="198">
        <v>35969.449999999997</v>
      </c>
    </row>
    <row r="142" spans="2:3">
      <c r="B142" s="197">
        <v>46091</v>
      </c>
      <c r="C142" s="198">
        <v>36564.400000000001</v>
      </c>
    </row>
    <row r="143" spans="2:3">
      <c r="B143" s="197">
        <v>46090</v>
      </c>
      <c r="C143" s="198">
        <v>36212.400000000001</v>
      </c>
    </row>
    <row r="144" spans="2:3">
      <c r="B144" s="197">
        <v>46087</v>
      </c>
      <c r="C144" s="198">
        <v>36848.97</v>
      </c>
    </row>
    <row r="145" spans="2:3">
      <c r="B145" s="197">
        <v>46086</v>
      </c>
      <c r="C145" s="198">
        <v>37321.660000000003</v>
      </c>
    </row>
    <row r="146" spans="2:3">
      <c r="B146" s="197">
        <v>46085</v>
      </c>
      <c r="C146" s="198">
        <v>36891.56</v>
      </c>
    </row>
    <row r="147" spans="2:3">
      <c r="B147" s="197">
        <v>46083</v>
      </c>
      <c r="C147" s="198">
        <v>37472.06</v>
      </c>
    </row>
    <row r="148" spans="2:3">
      <c r="B148" s="197">
        <v>46080</v>
      </c>
      <c r="C148" s="198">
        <v>37943.67</v>
      </c>
    </row>
    <row r="149" spans="2:3">
      <c r="B149" s="197">
        <v>46079</v>
      </c>
      <c r="C149" s="198">
        <v>38422.720000000001</v>
      </c>
    </row>
    <row r="150" spans="2:3">
      <c r="B150" s="197">
        <v>46078</v>
      </c>
      <c r="C150" s="198">
        <v>38401.58</v>
      </c>
    </row>
    <row r="151" spans="2:3">
      <c r="B151" s="197">
        <v>46077</v>
      </c>
      <c r="C151" s="198">
        <v>38314.370000000003</v>
      </c>
    </row>
    <row r="152" spans="2:3">
      <c r="B152" s="197">
        <v>46076</v>
      </c>
      <c r="C152" s="198">
        <v>38748.94</v>
      </c>
    </row>
    <row r="153" spans="2:3">
      <c r="B153" s="197">
        <v>46073</v>
      </c>
      <c r="C153" s="198">
        <v>38535.31</v>
      </c>
    </row>
    <row r="154" spans="2:3">
      <c r="B154" s="197">
        <v>46072</v>
      </c>
      <c r="C154" s="198">
        <v>38359.129999999997</v>
      </c>
    </row>
    <row r="155" spans="2:3">
      <c r="B155" s="197">
        <v>46071</v>
      </c>
      <c r="C155" s="198">
        <v>38909.22</v>
      </c>
    </row>
    <row r="156" spans="2:3">
      <c r="B156" s="197">
        <v>46070</v>
      </c>
      <c r="C156" s="198">
        <v>38763.5</v>
      </c>
    </row>
    <row r="157" spans="2:3">
      <c r="B157" s="197">
        <v>46069</v>
      </c>
      <c r="C157" s="198">
        <v>38699.22</v>
      </c>
    </row>
    <row r="158" spans="2:3">
      <c r="B158" s="197">
        <v>46066</v>
      </c>
      <c r="C158" s="198">
        <v>38379.949999999997</v>
      </c>
    </row>
    <row r="159" spans="2:3">
      <c r="B159" s="197">
        <v>46065</v>
      </c>
      <c r="C159" s="198">
        <v>38886.410000000003</v>
      </c>
    </row>
    <row r="160" spans="2:3">
      <c r="B160" s="197">
        <v>46064</v>
      </c>
      <c r="C160" s="198">
        <v>39107.4</v>
      </c>
    </row>
    <row r="161" spans="2:3">
      <c r="B161" s="197">
        <v>46063</v>
      </c>
      <c r="C161" s="198">
        <v>39079.22</v>
      </c>
    </row>
    <row r="162" spans="2:3">
      <c r="B162" s="197">
        <v>46062</v>
      </c>
      <c r="C162" s="198">
        <v>38976.99</v>
      </c>
    </row>
    <row r="163" spans="2:3">
      <c r="B163" s="197">
        <v>46059</v>
      </c>
      <c r="C163" s="198">
        <v>38710.58</v>
      </c>
    </row>
    <row r="164" spans="2:3">
      <c r="B164" s="197">
        <v>46058</v>
      </c>
      <c r="C164" s="198">
        <v>38627.94</v>
      </c>
    </row>
    <row r="165" spans="2:3">
      <c r="B165" s="197">
        <v>46057</v>
      </c>
      <c r="C165" s="198">
        <v>38824.69</v>
      </c>
    </row>
    <row r="166" spans="2:3">
      <c r="B166" s="197">
        <v>46056</v>
      </c>
      <c r="C166" s="198">
        <v>38751.71</v>
      </c>
    </row>
    <row r="167" spans="2:3">
      <c r="B167" s="197">
        <v>46055</v>
      </c>
      <c r="C167" s="198">
        <v>37789</v>
      </c>
    </row>
    <row r="168" spans="2:3">
      <c r="B168" s="197">
        <v>46054</v>
      </c>
      <c r="C168" s="198">
        <v>37392.92</v>
      </c>
    </row>
    <row r="169" spans="2:3">
      <c r="B169" s="197">
        <v>46052</v>
      </c>
      <c r="C169" s="198">
        <v>38138.83</v>
      </c>
    </row>
    <row r="170" spans="2:3">
      <c r="B170" s="197">
        <v>46051</v>
      </c>
      <c r="C170" s="198">
        <v>38286.86</v>
      </c>
    </row>
    <row r="171" spans="2:3">
      <c r="B171" s="197">
        <v>46050</v>
      </c>
      <c r="C171" s="198">
        <v>38172.11</v>
      </c>
    </row>
    <row r="172" spans="2:3">
      <c r="B172" s="197">
        <v>46049</v>
      </c>
      <c r="C172" s="198">
        <v>37920.03</v>
      </c>
    </row>
    <row r="173" spans="2:3">
      <c r="B173" s="197">
        <v>46045</v>
      </c>
      <c r="C173" s="198">
        <v>37729.14</v>
      </c>
    </row>
    <row r="174" spans="2:3">
      <c r="B174" s="197">
        <v>46044</v>
      </c>
      <c r="C174" s="198">
        <v>38092.550000000003</v>
      </c>
    </row>
    <row r="175" spans="2:3">
      <c r="B175" s="197">
        <v>46042</v>
      </c>
      <c r="C175" s="198">
        <v>38006.050000000003</v>
      </c>
    </row>
    <row r="176" spans="2:3">
      <c r="B176" s="197">
        <v>46041</v>
      </c>
      <c r="C176" s="198">
        <v>38537.78</v>
      </c>
    </row>
    <row r="177" spans="2:3">
      <c r="B177" s="197">
        <v>46038</v>
      </c>
      <c r="C177" s="198">
        <v>38701.71</v>
      </c>
    </row>
    <row r="178" spans="2:3">
      <c r="B178" s="197">
        <v>46036</v>
      </c>
      <c r="C178" s="198">
        <v>38635.050000000003</v>
      </c>
    </row>
    <row r="179" spans="2:3">
      <c r="B179" s="197">
        <v>46035</v>
      </c>
      <c r="C179" s="198">
        <v>38735.47</v>
      </c>
    </row>
    <row r="180" spans="2:3">
      <c r="B180" s="197">
        <v>46034</v>
      </c>
      <c r="C180" s="198">
        <v>38822.720000000001</v>
      </c>
    </row>
    <row r="181" spans="2:3">
      <c r="B181" s="197">
        <v>46031</v>
      </c>
      <c r="C181" s="198">
        <v>38661.67</v>
      </c>
    </row>
    <row r="182" spans="2:3">
      <c r="B182" s="197">
        <v>46030</v>
      </c>
      <c r="C182" s="198">
        <v>38953.08</v>
      </c>
    </row>
    <row r="183" spans="2:3">
      <c r="B183" s="197">
        <v>46029</v>
      </c>
      <c r="C183" s="198">
        <v>39350.28</v>
      </c>
    </row>
    <row r="184" spans="2:3">
      <c r="B184" s="197">
        <v>46028</v>
      </c>
      <c r="C184" s="198">
        <v>39407.42</v>
      </c>
    </row>
    <row r="185" spans="2:3">
      <c r="B185" s="197">
        <v>46027</v>
      </c>
      <c r="C185" s="198">
        <v>39515.230000000003</v>
      </c>
    </row>
    <row r="186" spans="2:3">
      <c r="B186" s="197">
        <v>46024</v>
      </c>
      <c r="C186" s="198">
        <v>39632.99</v>
      </c>
    </row>
    <row r="187" spans="2:3">
      <c r="B187" s="197">
        <v>46023</v>
      </c>
      <c r="C187" s="198">
        <v>39359.019999999997</v>
      </c>
    </row>
    <row r="188" spans="2:3">
      <c r="B188" s="197">
        <v>46022</v>
      </c>
      <c r="C188" s="198">
        <v>39333.550000000003</v>
      </c>
    </row>
    <row r="189" spans="2:3">
      <c r="B189" s="197">
        <v>46021</v>
      </c>
      <c r="C189" s="198">
        <v>39046.400000000001</v>
      </c>
    </row>
    <row r="190" spans="2:3">
      <c r="B190" s="197">
        <v>46020</v>
      </c>
      <c r="C190" s="198">
        <v>39051.24</v>
      </c>
    </row>
    <row r="191" spans="2:3">
      <c r="B191" s="197">
        <v>46017</v>
      </c>
      <c r="C191" s="198">
        <v>39202.11</v>
      </c>
    </row>
    <row r="192" spans="2:3">
      <c r="B192" s="197">
        <v>46015</v>
      </c>
      <c r="C192" s="198">
        <v>39352.35</v>
      </c>
    </row>
    <row r="193" spans="2:3">
      <c r="B193" s="197">
        <v>46014</v>
      </c>
      <c r="C193" s="198">
        <v>39405.1</v>
      </c>
    </row>
    <row r="194" spans="2:3">
      <c r="B194" s="197">
        <v>46013</v>
      </c>
      <c r="C194" s="198">
        <v>39397.94</v>
      </c>
    </row>
    <row r="195" spans="2:3">
      <c r="B195" s="197">
        <v>46010</v>
      </c>
      <c r="C195" s="198">
        <v>39087.879999999997</v>
      </c>
    </row>
    <row r="196" spans="2:3">
      <c r="B196" s="197">
        <v>46009</v>
      </c>
      <c r="C196" s="198">
        <v>38860.78</v>
      </c>
    </row>
    <row r="197" spans="2:3">
      <c r="B197" s="197">
        <v>46008</v>
      </c>
      <c r="C197" s="198">
        <v>38865.29</v>
      </c>
    </row>
    <row r="198" spans="2:3">
      <c r="B198" s="197">
        <v>46007</v>
      </c>
      <c r="C198" s="198">
        <v>38927.870000000003</v>
      </c>
    </row>
    <row r="199" spans="2:3">
      <c r="B199" s="197">
        <v>46006</v>
      </c>
      <c r="C199" s="198">
        <v>39179.54</v>
      </c>
    </row>
    <row r="200" spans="2:3">
      <c r="B200" s="197">
        <v>46003</v>
      </c>
      <c r="C200" s="198">
        <v>39209.120000000003</v>
      </c>
    </row>
    <row r="201" spans="2:3">
      <c r="B201" s="197">
        <v>46002</v>
      </c>
      <c r="C201" s="198">
        <v>38985.75</v>
      </c>
    </row>
    <row r="202" spans="2:3">
      <c r="B202" s="197">
        <v>46001</v>
      </c>
      <c r="C202" s="198">
        <v>38774.129999999997</v>
      </c>
    </row>
    <row r="203" spans="2:3">
      <c r="B203" s="197">
        <v>46000</v>
      </c>
      <c r="C203" s="198">
        <v>38897.019999999997</v>
      </c>
    </row>
    <row r="204" spans="2:3">
      <c r="B204" s="197">
        <v>45999</v>
      </c>
      <c r="C204" s="198">
        <v>39079.019999999997</v>
      </c>
    </row>
    <row r="205" spans="2:3">
      <c r="B205" s="197">
        <v>45996</v>
      </c>
      <c r="C205" s="198">
        <v>39419.07</v>
      </c>
    </row>
    <row r="206" spans="2:3">
      <c r="B206" s="197">
        <v>45995</v>
      </c>
      <c r="C206" s="198">
        <v>39189.269999999997</v>
      </c>
    </row>
    <row r="207" spans="2:3">
      <c r="B207" s="197">
        <v>45994</v>
      </c>
      <c r="C207" s="198">
        <v>39117.33</v>
      </c>
    </row>
    <row r="208" spans="2:3">
      <c r="B208" s="197">
        <v>45993</v>
      </c>
      <c r="C208" s="198">
        <v>39186.92</v>
      </c>
    </row>
    <row r="209" spans="2:3">
      <c r="B209" s="197">
        <v>45992</v>
      </c>
      <c r="C209" s="198">
        <v>39403.019999999997</v>
      </c>
    </row>
    <row r="210" spans="2:3">
      <c r="B210" s="197">
        <v>45989</v>
      </c>
      <c r="C210" s="198">
        <v>39443.910000000003</v>
      </c>
    </row>
    <row r="211" spans="2:3">
      <c r="B211" s="197">
        <v>45988</v>
      </c>
      <c r="C211" s="198">
        <v>39462.93</v>
      </c>
    </row>
    <row r="212" spans="2:3">
      <c r="B212" s="197">
        <v>45987</v>
      </c>
      <c r="C212" s="198">
        <v>39447.49</v>
      </c>
    </row>
    <row r="213" spans="2:3">
      <c r="B213" s="197">
        <v>45986</v>
      </c>
      <c r="C213" s="198">
        <v>38965</v>
      </c>
    </row>
    <row r="214" spans="2:3">
      <c r="B214" s="197">
        <v>45985</v>
      </c>
      <c r="C214" s="198">
        <v>39077.5</v>
      </c>
    </row>
    <row r="215" spans="2:3">
      <c r="B215" s="197">
        <v>45982</v>
      </c>
      <c r="C215" s="198">
        <v>39241</v>
      </c>
    </row>
    <row r="216" spans="2:3">
      <c r="B216" s="197">
        <v>45981</v>
      </c>
      <c r="C216" s="198">
        <v>39427.65</v>
      </c>
    </row>
    <row r="217" spans="2:3">
      <c r="B217" s="197">
        <v>45980</v>
      </c>
      <c r="C217" s="198">
        <v>39217.69</v>
      </c>
    </row>
    <row r="218" spans="2:3">
      <c r="B218" s="197">
        <v>45979</v>
      </c>
      <c r="C218" s="198">
        <v>39003.01</v>
      </c>
    </row>
    <row r="219" spans="2:3">
      <c r="B219" s="197">
        <v>45978</v>
      </c>
      <c r="C219" s="198">
        <v>39157.99</v>
      </c>
    </row>
    <row r="220" spans="2:3">
      <c r="B220" s="197">
        <v>45975</v>
      </c>
      <c r="C220" s="198">
        <v>39002.370000000003</v>
      </c>
    </row>
    <row r="221" spans="2:3">
      <c r="B221" s="197">
        <v>45974</v>
      </c>
      <c r="C221" s="198">
        <v>38955.83</v>
      </c>
    </row>
    <row r="222" spans="2:3">
      <c r="B222" s="197">
        <v>45973</v>
      </c>
      <c r="C222" s="198">
        <v>38950.78</v>
      </c>
    </row>
    <row r="223" spans="2:3">
      <c r="B223" s="197">
        <v>45972</v>
      </c>
      <c r="C223" s="198">
        <v>38678.54</v>
      </c>
    </row>
    <row r="224" spans="2:3">
      <c r="B224" s="197">
        <v>45971</v>
      </c>
      <c r="C224" s="198">
        <v>38497.01</v>
      </c>
    </row>
    <row r="225" spans="2:3">
      <c r="B225" s="197">
        <v>45968</v>
      </c>
      <c r="C225" s="198">
        <v>38366.879999999997</v>
      </c>
    </row>
    <row r="226" spans="2:3">
      <c r="B226" s="197">
        <v>45967</v>
      </c>
      <c r="C226" s="198">
        <v>38381.019999999997</v>
      </c>
    </row>
    <row r="227" spans="2:3">
      <c r="B227" s="197">
        <v>45965</v>
      </c>
      <c r="C227" s="198">
        <v>38513.370000000003</v>
      </c>
    </row>
    <row r="228" spans="2:3">
      <c r="B228" s="197">
        <v>45964</v>
      </c>
      <c r="C228" s="198">
        <v>38762.65</v>
      </c>
    </row>
    <row r="229" spans="2:3">
      <c r="B229" s="197">
        <v>45961</v>
      </c>
      <c r="C229" s="198">
        <v>38700.6</v>
      </c>
    </row>
    <row r="230" spans="2:3">
      <c r="B230" s="197">
        <v>45960</v>
      </c>
      <c r="C230" s="198">
        <v>38934.92</v>
      </c>
    </row>
    <row r="231" spans="2:3">
      <c r="B231" s="197">
        <v>45959</v>
      </c>
      <c r="C231" s="198">
        <v>39199.800000000003</v>
      </c>
    </row>
    <row r="232" spans="2:3">
      <c r="B232" s="197">
        <v>45958</v>
      </c>
      <c r="C232" s="198">
        <v>39022.730000000003</v>
      </c>
    </row>
    <row r="233" spans="2:3">
      <c r="B233" s="197">
        <v>45957</v>
      </c>
      <c r="C233" s="198">
        <v>39067.589999999997</v>
      </c>
    </row>
    <row r="234" spans="2:3">
      <c r="B234" s="197">
        <v>45954</v>
      </c>
      <c r="C234" s="198">
        <v>38783.54</v>
      </c>
    </row>
    <row r="235" spans="2:3">
      <c r="B235" s="197">
        <v>45953</v>
      </c>
      <c r="C235" s="198">
        <v>38928.230000000003</v>
      </c>
    </row>
    <row r="236" spans="2:3">
      <c r="B236" s="197">
        <v>45951</v>
      </c>
      <c r="C236" s="198">
        <v>38893.949999999997</v>
      </c>
    </row>
    <row r="237" spans="2:3">
      <c r="B237" s="197">
        <v>45950</v>
      </c>
      <c r="C237" s="198">
        <v>38855.68</v>
      </c>
    </row>
    <row r="238" spans="2:3">
      <c r="B238" s="197">
        <v>45947</v>
      </c>
      <c r="C238" s="198">
        <v>38652.19</v>
      </c>
    </row>
    <row r="239" spans="2:3">
      <c r="B239" s="197">
        <v>45946</v>
      </c>
      <c r="C239" s="198">
        <v>38460.730000000003</v>
      </c>
    </row>
    <row r="240" spans="2:3">
      <c r="B240" s="197">
        <v>45945</v>
      </c>
      <c r="C240" s="198">
        <v>38067.31</v>
      </c>
    </row>
    <row r="241" spans="2:3">
      <c r="B241" s="197">
        <v>45944</v>
      </c>
      <c r="C241" s="198">
        <v>37795.97</v>
      </c>
    </row>
    <row r="242" spans="2:3">
      <c r="B242" s="197">
        <v>45940</v>
      </c>
      <c r="C242" s="198">
        <v>38006.18</v>
      </c>
    </row>
    <row r="243" spans="2:3">
      <c r="B243" s="197">
        <v>45939</v>
      </c>
      <c r="C243" s="198">
        <v>37850.519999999997</v>
      </c>
    </row>
    <row r="244" spans="2:3">
      <c r="B244" s="197">
        <v>45938</v>
      </c>
      <c r="C244" s="198">
        <v>37646.65</v>
      </c>
    </row>
    <row r="245" spans="2:3">
      <c r="B245" s="197">
        <v>45937</v>
      </c>
      <c r="C245" s="198">
        <v>37740.1</v>
      </c>
    </row>
    <row r="246" spans="2:3">
      <c r="B246" s="197">
        <v>45936</v>
      </c>
      <c r="C246" s="198">
        <v>37694.019999999997</v>
      </c>
    </row>
    <row r="247" spans="2:3">
      <c r="B247" s="197">
        <v>45933</v>
      </c>
      <c r="C247" s="198">
        <v>37418.300000000003</v>
      </c>
    </row>
    <row r="248" spans="2:3">
      <c r="B248" s="197">
        <v>45931</v>
      </c>
      <c r="C248" s="198">
        <v>37331.199999999997</v>
      </c>
    </row>
    <row r="249" spans="2:3">
      <c r="B249" s="197">
        <v>45930</v>
      </c>
      <c r="C249" s="198">
        <v>36992.699999999997</v>
      </c>
    </row>
    <row r="250" spans="2:3">
      <c r="B250" s="197">
        <v>45929</v>
      </c>
      <c r="C250" s="198">
        <v>37028.480000000003</v>
      </c>
    </row>
    <row r="251" spans="2:3">
      <c r="B251" s="197">
        <v>45926</v>
      </c>
      <c r="C251" s="198">
        <v>37058.300000000003</v>
      </c>
    </row>
    <row r="252" spans="2:3">
      <c r="B252" s="197">
        <v>45925</v>
      </c>
      <c r="C252" s="198">
        <v>37413.25</v>
      </c>
    </row>
    <row r="253" spans="2:3">
      <c r="B253" s="197">
        <v>45924</v>
      </c>
      <c r="C253" s="198">
        <v>37662.839999999997</v>
      </c>
    </row>
    <row r="254" spans="2:3">
      <c r="B254" s="197">
        <v>45923</v>
      </c>
      <c r="C254" s="198">
        <v>37832.089999999997</v>
      </c>
    </row>
    <row r="255" spans="2:3">
      <c r="B255" s="197">
        <v>45922</v>
      </c>
      <c r="C255" s="198">
        <v>37881.410000000003</v>
      </c>
    </row>
    <row r="256" spans="2:3">
      <c r="B256" s="197">
        <v>45919</v>
      </c>
      <c r="C256" s="198">
        <v>38068.839999999997</v>
      </c>
    </row>
    <row r="257" spans="2:3">
      <c r="B257" s="197">
        <v>45918</v>
      </c>
      <c r="C257" s="198">
        <v>38213.97</v>
      </c>
    </row>
    <row r="258" spans="2:3">
      <c r="B258" s="197">
        <v>45917</v>
      </c>
      <c r="C258" s="198">
        <v>38073.65</v>
      </c>
    </row>
    <row r="259" spans="2:3">
      <c r="B259" s="197">
        <v>45916</v>
      </c>
      <c r="C259" s="198">
        <v>37936.660000000003</v>
      </c>
    </row>
    <row r="260" spans="2:3">
      <c r="B260" s="197">
        <v>45915</v>
      </c>
      <c r="C260" s="198">
        <v>37681.33</v>
      </c>
    </row>
    <row r="261" spans="2:3">
      <c r="B261" s="197">
        <v>45912</v>
      </c>
      <c r="C261" s="198">
        <v>37748.61</v>
      </c>
    </row>
    <row r="262" spans="2:3">
      <c r="B262" s="197">
        <v>45911</v>
      </c>
      <c r="C262" s="198">
        <v>37585.519999999997</v>
      </c>
    </row>
    <row r="263" spans="2:3">
      <c r="B263" s="197">
        <v>45910</v>
      </c>
      <c r="C263" s="198">
        <v>37536.879999999997</v>
      </c>
    </row>
    <row r="264" spans="2:3">
      <c r="B264" s="197">
        <v>45909</v>
      </c>
      <c r="C264" s="198">
        <v>37379.78</v>
      </c>
    </row>
    <row r="265" spans="2:3">
      <c r="B265" s="197">
        <v>45908</v>
      </c>
      <c r="C265" s="198">
        <v>37236.28</v>
      </c>
    </row>
    <row r="266" spans="2:3">
      <c r="B266" s="197">
        <v>45905</v>
      </c>
      <c r="C266" s="198">
        <v>37188.019999999997</v>
      </c>
    </row>
    <row r="267" spans="2:3">
      <c r="B267" s="197">
        <v>45904</v>
      </c>
      <c r="C267" s="198">
        <v>37177.94</v>
      </c>
    </row>
    <row r="268" spans="2:3">
      <c r="B268" s="197">
        <v>45903</v>
      </c>
      <c r="C268" s="198">
        <v>37142.11</v>
      </c>
    </row>
    <row r="269" spans="2:3">
      <c r="B269" s="197">
        <v>45902</v>
      </c>
      <c r="C269" s="198">
        <v>36938.57</v>
      </c>
    </row>
    <row r="270" spans="2:3">
      <c r="B270" s="197">
        <v>45901</v>
      </c>
      <c r="C270" s="198">
        <v>37006.870000000003</v>
      </c>
    </row>
    <row r="271" spans="2:3">
      <c r="B271" s="197">
        <v>45898</v>
      </c>
      <c r="C271" s="198">
        <v>36709</v>
      </c>
    </row>
    <row r="272" spans="2:3">
      <c r="B272" s="197">
        <v>45897</v>
      </c>
      <c r="C272" s="198">
        <v>36820.25</v>
      </c>
    </row>
    <row r="273" spans="2:3">
      <c r="B273" s="197">
        <v>45895</v>
      </c>
      <c r="C273" s="198">
        <v>37137.57</v>
      </c>
    </row>
    <row r="274" spans="2:3">
      <c r="B274" s="197">
        <v>45894</v>
      </c>
      <c r="C274" s="198">
        <v>37521.9</v>
      </c>
    </row>
    <row r="275" spans="2:3">
      <c r="B275" s="197">
        <v>45891</v>
      </c>
      <c r="C275" s="198">
        <v>37375.089999999997</v>
      </c>
    </row>
    <row r="276" spans="2:3">
      <c r="B276" s="197">
        <v>45890</v>
      </c>
      <c r="C276" s="198">
        <v>37696.230000000003</v>
      </c>
    </row>
    <row r="277" spans="2:3">
      <c r="B277" s="197">
        <v>45889</v>
      </c>
      <c r="C277" s="198">
        <v>37642.410000000003</v>
      </c>
    </row>
    <row r="278" spans="2:3">
      <c r="B278" s="197">
        <v>45888</v>
      </c>
      <c r="C278" s="198">
        <v>37537.42</v>
      </c>
    </row>
    <row r="279" spans="2:3">
      <c r="B279" s="197">
        <v>45887</v>
      </c>
      <c r="C279" s="198">
        <v>37379.379999999997</v>
      </c>
    </row>
    <row r="280" spans="2:3">
      <c r="B280" s="197">
        <v>45883</v>
      </c>
      <c r="C280" s="198">
        <v>37010.269999999997</v>
      </c>
    </row>
    <row r="281" spans="2:3">
      <c r="B281" s="197">
        <v>45882</v>
      </c>
      <c r="C281" s="198">
        <v>36978.89</v>
      </c>
    </row>
    <row r="282" spans="2:3">
      <c r="B282" s="197">
        <v>45881</v>
      </c>
      <c r="C282" s="198">
        <v>36780.730000000003</v>
      </c>
    </row>
    <row r="283" spans="2:3">
      <c r="B283" s="197">
        <v>45880</v>
      </c>
      <c r="C283" s="198">
        <v>36900.03</v>
      </c>
    </row>
    <row r="284" spans="2:3">
      <c r="B284" s="197">
        <v>45877</v>
      </c>
      <c r="C284" s="198">
        <v>36566.629999999997</v>
      </c>
    </row>
    <row r="285" spans="2:3">
      <c r="B285" s="197">
        <v>45876</v>
      </c>
      <c r="C285" s="198">
        <v>36913.760000000002</v>
      </c>
    </row>
    <row r="286" spans="2:3">
      <c r="B286" s="197">
        <v>45875</v>
      </c>
      <c r="C286" s="198">
        <v>36880.81</v>
      </c>
    </row>
    <row r="287" spans="2:3">
      <c r="B287" s="197">
        <v>45874</v>
      </c>
      <c r="C287" s="198">
        <v>36989.75</v>
      </c>
    </row>
    <row r="288" spans="2:3">
      <c r="B288" s="197">
        <v>45873</v>
      </c>
      <c r="C288" s="198">
        <v>37099.550000000003</v>
      </c>
    </row>
    <row r="289" spans="2:3">
      <c r="B289" s="197">
        <v>45870</v>
      </c>
      <c r="C289" s="198">
        <v>36863.4</v>
      </c>
    </row>
    <row r="290" spans="2:3">
      <c r="B290" s="197">
        <v>45869</v>
      </c>
      <c r="C290" s="198">
        <v>37158.879999999997</v>
      </c>
    </row>
    <row r="291" spans="2:3">
      <c r="B291" s="197">
        <v>45868</v>
      </c>
      <c r="C291" s="198">
        <v>37288.94</v>
      </c>
    </row>
    <row r="292" spans="2:3">
      <c r="B292" s="197">
        <v>45867</v>
      </c>
      <c r="C292" s="198">
        <v>37238.03</v>
      </c>
    </row>
    <row r="293" spans="2:3">
      <c r="B293" s="197">
        <v>45866</v>
      </c>
      <c r="C293" s="198">
        <v>37027.65</v>
      </c>
    </row>
    <row r="294" spans="2:3">
      <c r="B294" s="197">
        <v>45863</v>
      </c>
      <c r="C294" s="198">
        <v>37257.14</v>
      </c>
    </row>
    <row r="295" spans="2:3">
      <c r="B295" s="197">
        <v>45862</v>
      </c>
      <c r="C295" s="198">
        <v>37578.97</v>
      </c>
    </row>
    <row r="296" spans="2:3">
      <c r="B296" s="197">
        <v>45861</v>
      </c>
      <c r="C296" s="198">
        <v>37812.76</v>
      </c>
    </row>
    <row r="297" spans="2:3">
      <c r="B297" s="197">
        <v>45860</v>
      </c>
      <c r="C297" s="198">
        <v>37574.379999999997</v>
      </c>
    </row>
    <row r="298" spans="2:3">
      <c r="B298" s="197">
        <v>45859</v>
      </c>
      <c r="C298" s="198">
        <v>37619.089999999997</v>
      </c>
    </row>
    <row r="299" spans="2:3">
      <c r="B299" s="197">
        <v>45856</v>
      </c>
      <c r="C299" s="198">
        <v>37435.72</v>
      </c>
    </row>
    <row r="300" spans="2:3">
      <c r="B300" s="197">
        <v>45855</v>
      </c>
      <c r="C300" s="198">
        <v>37630.21</v>
      </c>
    </row>
    <row r="301" spans="2:3">
      <c r="B301" s="197">
        <v>45854</v>
      </c>
      <c r="C301" s="198">
        <v>37780.94</v>
      </c>
    </row>
    <row r="302" spans="2:3">
      <c r="B302" s="197">
        <v>45853</v>
      </c>
      <c r="C302" s="198">
        <v>37752.92</v>
      </c>
    </row>
    <row r="303" spans="2:3">
      <c r="B303" s="197">
        <v>45852</v>
      </c>
      <c r="C303" s="198">
        <v>37582.839999999997</v>
      </c>
    </row>
    <row r="304" spans="2:3">
      <c r="B304" s="197">
        <v>45849</v>
      </c>
      <c r="C304" s="198">
        <v>37684.07</v>
      </c>
    </row>
    <row r="305" spans="2:3">
      <c r="B305" s="197">
        <v>45848</v>
      </c>
      <c r="C305" s="198">
        <v>37990.410000000003</v>
      </c>
    </row>
    <row r="306" spans="2:3">
      <c r="B306" s="197">
        <v>45847</v>
      </c>
      <c r="C306" s="198">
        <v>38169.85</v>
      </c>
    </row>
    <row r="307" spans="2:3">
      <c r="B307" s="197">
        <v>45846</v>
      </c>
      <c r="C307" s="198">
        <v>38239.39</v>
      </c>
    </row>
    <row r="308" spans="2:3">
      <c r="B308" s="197">
        <v>45845</v>
      </c>
      <c r="C308" s="198">
        <v>38145.33</v>
      </c>
    </row>
    <row r="309" spans="2:3">
      <c r="B309" s="197">
        <v>45842</v>
      </c>
      <c r="C309" s="198">
        <v>38142.94</v>
      </c>
    </row>
    <row r="310" spans="2:3">
      <c r="B310" s="197">
        <v>45841</v>
      </c>
      <c r="C310" s="198">
        <v>38049.97</v>
      </c>
    </row>
    <row r="311" spans="2:3">
      <c r="B311" s="197">
        <v>45840</v>
      </c>
      <c r="C311" s="198">
        <v>38121.99</v>
      </c>
    </row>
    <row r="312" spans="2:3">
      <c r="B312" s="197">
        <v>45839</v>
      </c>
      <c r="C312" s="198">
        <v>38254.39</v>
      </c>
    </row>
    <row r="313" spans="2:3">
      <c r="B313" s="197">
        <v>45838</v>
      </c>
      <c r="C313" s="198">
        <v>38217.32</v>
      </c>
    </row>
    <row r="314" spans="2:3">
      <c r="B314" s="197">
        <v>45835</v>
      </c>
      <c r="C314" s="198">
        <v>38398.230000000003</v>
      </c>
    </row>
    <row r="315" spans="2:3">
      <c r="B315" s="197">
        <v>45834</v>
      </c>
      <c r="C315" s="198">
        <v>38206.879999999997</v>
      </c>
    </row>
    <row r="316" spans="2:3">
      <c r="B316" s="197">
        <v>45833</v>
      </c>
      <c r="C316" s="198">
        <v>37751.94</v>
      </c>
    </row>
    <row r="317" spans="2:3">
      <c r="B317" s="197">
        <v>45832</v>
      </c>
      <c r="C317" s="198">
        <v>37452.239999999998</v>
      </c>
    </row>
    <row r="318" spans="2:3">
      <c r="B318" s="197">
        <v>45831</v>
      </c>
      <c r="C318" s="198">
        <v>37343.910000000003</v>
      </c>
    </row>
    <row r="319" spans="2:3">
      <c r="B319" s="197">
        <v>45828</v>
      </c>
      <c r="C319" s="198">
        <v>37546.89</v>
      </c>
    </row>
    <row r="320" spans="2:3">
      <c r="B320" s="197">
        <v>45827</v>
      </c>
      <c r="C320" s="198">
        <v>37069.019999999997</v>
      </c>
    </row>
    <row r="321" spans="2:3">
      <c r="B321" s="197">
        <v>45826</v>
      </c>
      <c r="C321" s="198">
        <v>37097.129999999997</v>
      </c>
    </row>
    <row r="322" spans="2:3">
      <c r="B322" s="197">
        <v>45825</v>
      </c>
      <c r="C322" s="198">
        <v>37158.949999999997</v>
      </c>
    </row>
    <row r="323" spans="2:3">
      <c r="B323" s="197">
        <v>45824</v>
      </c>
      <c r="C323" s="198">
        <v>37298.120000000003</v>
      </c>
    </row>
    <row r="324" spans="2:3">
      <c r="B324" s="197">
        <v>45821</v>
      </c>
      <c r="C324" s="198">
        <v>36957.379999999997</v>
      </c>
    </row>
    <row r="325" spans="2:3">
      <c r="B325" s="197">
        <v>45820</v>
      </c>
      <c r="C325" s="198">
        <v>37209.11</v>
      </c>
    </row>
    <row r="326" spans="2:3">
      <c r="B326" s="197">
        <v>45819</v>
      </c>
      <c r="C326" s="198">
        <v>37587.31</v>
      </c>
    </row>
    <row r="327" spans="2:3">
      <c r="B327" s="197">
        <v>45818</v>
      </c>
      <c r="C327" s="198">
        <v>37531.760000000002</v>
      </c>
    </row>
    <row r="328" spans="2:3">
      <c r="B328" s="197">
        <v>45817</v>
      </c>
      <c r="C328" s="198">
        <v>37527.120000000003</v>
      </c>
    </row>
    <row r="329" spans="2:3">
      <c r="B329" s="197">
        <v>45814</v>
      </c>
      <c r="C329" s="198">
        <v>37377.42</v>
      </c>
    </row>
    <row r="330" spans="2:3">
      <c r="B330" s="197">
        <v>45813</v>
      </c>
      <c r="C330" s="198">
        <v>37000.49</v>
      </c>
    </row>
    <row r="331" spans="2:3">
      <c r="B331" s="197">
        <v>45812</v>
      </c>
      <c r="C331" s="198">
        <v>36805.089999999997</v>
      </c>
    </row>
    <row r="332" spans="2:3">
      <c r="B332" s="197">
        <v>45811</v>
      </c>
      <c r="C332" s="198">
        <v>36674.69</v>
      </c>
    </row>
    <row r="333" spans="2:3">
      <c r="B333" s="197">
        <v>45810</v>
      </c>
      <c r="C333" s="198">
        <v>36921.620000000003</v>
      </c>
    </row>
    <row r="334" spans="2:3">
      <c r="B334" s="197">
        <v>45807</v>
      </c>
      <c r="C334" s="198">
        <v>36972.5</v>
      </c>
    </row>
    <row r="335" spans="2:3">
      <c r="B335" s="197">
        <v>45806</v>
      </c>
      <c r="C335" s="198">
        <v>37066.339999999997</v>
      </c>
    </row>
    <row r="336" spans="2:3">
      <c r="B336" s="197">
        <v>45805</v>
      </c>
      <c r="C336" s="198">
        <v>36943.42</v>
      </c>
    </row>
    <row r="337" spans="2:3">
      <c r="B337" s="197">
        <v>45804</v>
      </c>
      <c r="C337" s="198">
        <v>37029.33</v>
      </c>
    </row>
    <row r="338" spans="2:3">
      <c r="B338" s="197">
        <v>45803</v>
      </c>
      <c r="C338" s="198">
        <v>37290.300000000003</v>
      </c>
    </row>
    <row r="339" spans="2:3">
      <c r="B339" s="197">
        <v>45800</v>
      </c>
      <c r="C339" s="198">
        <v>37069.550000000003</v>
      </c>
    </row>
    <row r="340" spans="2:3">
      <c r="B340" s="197">
        <v>45799</v>
      </c>
      <c r="C340" s="198">
        <v>36706.44</v>
      </c>
    </row>
    <row r="341" spans="2:3">
      <c r="B341" s="197">
        <v>45798</v>
      </c>
      <c r="C341" s="198">
        <v>37010.35</v>
      </c>
    </row>
    <row r="342" spans="2:3">
      <c r="B342" s="197">
        <v>45797</v>
      </c>
      <c r="C342" s="198">
        <v>36817.14</v>
      </c>
    </row>
    <row r="343" spans="2:3">
      <c r="B343" s="197">
        <v>45796</v>
      </c>
      <c r="C343" s="198">
        <v>37207.25</v>
      </c>
    </row>
    <row r="344" spans="2:3">
      <c r="B344" s="197">
        <v>45793</v>
      </c>
      <c r="C344" s="198">
        <v>37318.129999999997</v>
      </c>
    </row>
    <row r="345" spans="2:3">
      <c r="B345" s="197">
        <v>45792</v>
      </c>
      <c r="C345" s="198">
        <v>37361.050000000003</v>
      </c>
    </row>
    <row r="346" spans="2:3">
      <c r="B346" s="197">
        <v>45791</v>
      </c>
      <c r="C346" s="198">
        <v>36771.94</v>
      </c>
    </row>
    <row r="347" spans="2:3">
      <c r="B347" s="197">
        <v>45790</v>
      </c>
      <c r="C347" s="198">
        <v>36639.870000000003</v>
      </c>
    </row>
    <row r="348" spans="2:3">
      <c r="B348" s="197">
        <v>45789</v>
      </c>
      <c r="C348" s="198">
        <v>37156.25</v>
      </c>
    </row>
    <row r="349" spans="2:3">
      <c r="B349" s="197">
        <v>45786</v>
      </c>
      <c r="C349" s="198">
        <v>35789.629999999997</v>
      </c>
    </row>
    <row r="350" spans="2:3">
      <c r="B350" s="197">
        <v>45785</v>
      </c>
      <c r="C350" s="198">
        <v>36184.82</v>
      </c>
    </row>
    <row r="351" spans="2:3">
      <c r="B351" s="197">
        <v>45784</v>
      </c>
      <c r="C351" s="198">
        <v>36394.46</v>
      </c>
    </row>
    <row r="352" spans="2:3">
      <c r="B352" s="197">
        <v>45783</v>
      </c>
      <c r="C352" s="198">
        <v>36342.6</v>
      </c>
    </row>
    <row r="353" spans="2:3">
      <c r="B353" s="197">
        <v>45782</v>
      </c>
      <c r="C353" s="198">
        <v>36464.1</v>
      </c>
    </row>
    <row r="354" spans="2:3">
      <c r="B354" s="197">
        <v>45779</v>
      </c>
      <c r="C354" s="198">
        <v>36293.51</v>
      </c>
    </row>
    <row r="355" spans="2:3">
      <c r="B355" s="197">
        <v>45777</v>
      </c>
      <c r="C355" s="198">
        <v>36274.870000000003</v>
      </c>
    </row>
    <row r="356" spans="2:3">
      <c r="B356" s="197">
        <v>45776</v>
      </c>
      <c r="C356" s="198">
        <v>36277.480000000003</v>
      </c>
    </row>
    <row r="357" spans="2:3">
      <c r="B357" s="197">
        <v>45775</v>
      </c>
      <c r="C357" s="198">
        <v>36266.410000000003</v>
      </c>
    </row>
    <row r="358" spans="2:3">
      <c r="B358" s="197">
        <v>45772</v>
      </c>
      <c r="C358" s="198">
        <v>35829.160000000003</v>
      </c>
    </row>
    <row r="359" spans="2:3">
      <c r="B359" s="197">
        <v>45771</v>
      </c>
      <c r="C359" s="198">
        <v>36138.21</v>
      </c>
    </row>
    <row r="360" spans="2:3">
      <c r="B360" s="197">
        <v>45770</v>
      </c>
      <c r="C360" s="198">
        <v>36260.74</v>
      </c>
    </row>
    <row r="361" spans="2:3">
      <c r="B361" s="197">
        <v>45769</v>
      </c>
      <c r="C361" s="198">
        <v>36019.75</v>
      </c>
    </row>
    <row r="362" spans="2:3">
      <c r="B362" s="197">
        <v>45768</v>
      </c>
      <c r="C362" s="198">
        <v>35957.620000000003</v>
      </c>
    </row>
    <row r="363" spans="2:3">
      <c r="B363" s="197">
        <v>45764</v>
      </c>
      <c r="C363" s="198">
        <v>35549.39</v>
      </c>
    </row>
    <row r="364" spans="2:3">
      <c r="B364" s="197">
        <v>45763</v>
      </c>
      <c r="C364" s="198">
        <v>34931.660000000003</v>
      </c>
    </row>
    <row r="365" spans="2:3">
      <c r="B365" s="197">
        <v>45762</v>
      </c>
      <c r="C365" s="198">
        <v>34769.71</v>
      </c>
    </row>
    <row r="366" spans="2:3">
      <c r="B366" s="197">
        <v>45758</v>
      </c>
      <c r="C366" s="198">
        <v>34024.5</v>
      </c>
    </row>
    <row r="367" spans="2:3">
      <c r="B367" s="197">
        <v>45756</v>
      </c>
      <c r="C367" s="198">
        <v>33384.559999999998</v>
      </c>
    </row>
    <row r="368" spans="2:3">
      <c r="B368" s="197">
        <v>45755</v>
      </c>
      <c r="C368" s="198">
        <v>33588.28</v>
      </c>
    </row>
    <row r="369" spans="2:3">
      <c r="B369" s="197">
        <v>45754</v>
      </c>
      <c r="C369" s="198">
        <v>33030.49</v>
      </c>
    </row>
    <row r="370" spans="2:3">
      <c r="B370" s="197">
        <v>45751</v>
      </c>
      <c r="C370" s="198">
        <v>34137.61</v>
      </c>
    </row>
    <row r="371" spans="2:3">
      <c r="B371" s="197">
        <v>45750</v>
      </c>
      <c r="C371" s="198">
        <v>34652.839999999997</v>
      </c>
    </row>
    <row r="372" spans="2:3">
      <c r="B372" s="197">
        <v>45749</v>
      </c>
      <c r="C372" s="198">
        <v>34775.4</v>
      </c>
    </row>
    <row r="373" spans="2:3">
      <c r="B373" s="197">
        <v>45748</v>
      </c>
      <c r="C373" s="198">
        <v>34527.01</v>
      </c>
    </row>
    <row r="374" spans="2:3">
      <c r="B374" s="197">
        <v>45744</v>
      </c>
      <c r="C374" s="198">
        <v>35054.080000000002</v>
      </c>
    </row>
    <row r="375" spans="2:3">
      <c r="B375" s="197">
        <v>45743</v>
      </c>
      <c r="C375" s="198">
        <v>35162.32</v>
      </c>
    </row>
    <row r="376" spans="2:3">
      <c r="B376" s="197">
        <v>45742</v>
      </c>
      <c r="C376" s="198">
        <v>35005.67</v>
      </c>
    </row>
    <row r="377" spans="2:3">
      <c r="B377" s="197">
        <v>45741</v>
      </c>
      <c r="C377" s="198">
        <v>35276.65</v>
      </c>
    </row>
    <row r="378" spans="2:3">
      <c r="B378" s="197">
        <v>45740</v>
      </c>
      <c r="C378" s="198">
        <v>35261.269999999997</v>
      </c>
    </row>
    <row r="379" spans="2:3">
      <c r="B379" s="197">
        <v>45737</v>
      </c>
      <c r="C379" s="198">
        <v>34802.300000000003</v>
      </c>
    </row>
    <row r="380" spans="2:3">
      <c r="B380" s="197">
        <v>45736</v>
      </c>
      <c r="C380" s="198">
        <v>34564.18</v>
      </c>
    </row>
    <row r="381" spans="2:3">
      <c r="B381" s="197">
        <v>45735</v>
      </c>
      <c r="C381" s="198">
        <v>34142.35</v>
      </c>
    </row>
    <row r="382" spans="2:3">
      <c r="B382" s="197">
        <v>45734</v>
      </c>
      <c r="C382" s="198">
        <v>34033.06</v>
      </c>
    </row>
    <row r="383" spans="2:3">
      <c r="B383" s="197">
        <v>45733</v>
      </c>
      <c r="C383" s="198">
        <v>33547.879999999997</v>
      </c>
    </row>
    <row r="384" spans="2:3">
      <c r="B384" s="197">
        <v>45729</v>
      </c>
      <c r="C384" s="198">
        <v>33381.620000000003</v>
      </c>
    </row>
    <row r="385" spans="2:3">
      <c r="B385" s="197">
        <v>45728</v>
      </c>
      <c r="C385" s="198">
        <v>33490.870000000003</v>
      </c>
    </row>
    <row r="386" spans="2:3">
      <c r="B386" s="197">
        <v>45727</v>
      </c>
      <c r="C386" s="198">
        <v>33531.68</v>
      </c>
    </row>
    <row r="387" spans="2:3">
      <c r="B387" s="197">
        <v>45726</v>
      </c>
      <c r="C387" s="198">
        <v>33473.919999999998</v>
      </c>
    </row>
    <row r="388" spans="2:3">
      <c r="B388" s="197">
        <v>45723</v>
      </c>
      <c r="C388" s="198">
        <v>33611.300000000003</v>
      </c>
    </row>
    <row r="389" spans="2:3">
      <c r="B389" s="197">
        <v>45722</v>
      </c>
      <c r="C389" s="198">
        <v>33599.300000000003</v>
      </c>
    </row>
    <row r="390" spans="2:3">
      <c r="B390" s="197">
        <v>45721</v>
      </c>
      <c r="C390" s="198">
        <v>33290.199999999997</v>
      </c>
    </row>
    <row r="391" spans="2:3">
      <c r="B391" s="197">
        <v>45720</v>
      </c>
      <c r="C391" s="198">
        <v>32910.629999999997</v>
      </c>
    </row>
    <row r="392" spans="2:3">
      <c r="B392" s="197">
        <v>45719</v>
      </c>
      <c r="C392" s="198">
        <v>32965.25</v>
      </c>
    </row>
    <row r="393" spans="2:3">
      <c r="B393" s="197">
        <v>45716</v>
      </c>
      <c r="C393" s="198">
        <v>32973.360000000001</v>
      </c>
    </row>
    <row r="394" spans="2:3">
      <c r="B394" s="197">
        <v>45715</v>
      </c>
      <c r="C394" s="198">
        <v>33599.79</v>
      </c>
    </row>
    <row r="395" spans="2:3">
      <c r="B395" s="197">
        <v>45713</v>
      </c>
      <c r="C395" s="198">
        <v>33603.550000000003</v>
      </c>
    </row>
    <row r="396" spans="2:3">
      <c r="B396" s="197">
        <v>45712</v>
      </c>
      <c r="C396" s="198">
        <v>33612.18</v>
      </c>
    </row>
    <row r="397" spans="2:3">
      <c r="B397" s="197">
        <v>45709</v>
      </c>
      <c r="C397" s="198">
        <v>33973.61</v>
      </c>
    </row>
    <row r="398" spans="2:3">
      <c r="B398" s="197">
        <v>45708</v>
      </c>
      <c r="C398" s="198">
        <v>34148.36</v>
      </c>
    </row>
    <row r="399" spans="2:3">
      <c r="B399" s="197">
        <v>45707</v>
      </c>
      <c r="C399" s="198">
        <v>34177.82</v>
      </c>
    </row>
    <row r="400" spans="2:3">
      <c r="B400" s="197">
        <v>45706</v>
      </c>
      <c r="C400" s="198">
        <v>34196.32</v>
      </c>
    </row>
    <row r="401" spans="2:3">
      <c r="B401" s="197">
        <v>45705</v>
      </c>
      <c r="C401" s="198">
        <v>34217.480000000003</v>
      </c>
    </row>
    <row r="402" spans="2:3">
      <c r="B402" s="197">
        <v>45702</v>
      </c>
      <c r="C402" s="198">
        <v>34172.379999999997</v>
      </c>
    </row>
    <row r="403" spans="2:3">
      <c r="B403" s="197">
        <v>45701</v>
      </c>
      <c r="C403" s="198">
        <v>34324.31</v>
      </c>
    </row>
    <row r="404" spans="2:3">
      <c r="B404" s="197">
        <v>45700</v>
      </c>
      <c r="C404" s="198">
        <v>34344.93</v>
      </c>
    </row>
    <row r="405" spans="2:3">
      <c r="B405" s="197">
        <v>45699</v>
      </c>
      <c r="C405" s="198">
        <v>34364.39</v>
      </c>
    </row>
    <row r="406" spans="2:3">
      <c r="B406" s="197">
        <v>45698</v>
      </c>
      <c r="C406" s="198">
        <v>34825.870000000003</v>
      </c>
    </row>
    <row r="407" spans="2:3">
      <c r="B407" s="197">
        <v>45695</v>
      </c>
      <c r="C407" s="198">
        <v>35091.5</v>
      </c>
    </row>
    <row r="408" spans="2:3">
      <c r="B408" s="197">
        <v>45694</v>
      </c>
      <c r="C408" s="198">
        <v>35143.08</v>
      </c>
    </row>
    <row r="409" spans="2:3">
      <c r="B409" s="197">
        <v>45693</v>
      </c>
      <c r="C409" s="198">
        <v>35277.699999999997</v>
      </c>
    </row>
    <row r="410" spans="2:3">
      <c r="B410" s="197">
        <v>45692</v>
      </c>
      <c r="C410" s="198">
        <v>35341.64</v>
      </c>
    </row>
    <row r="411" spans="2:3">
      <c r="B411" s="197">
        <v>45691</v>
      </c>
      <c r="C411" s="198">
        <v>34778.660000000003</v>
      </c>
    </row>
    <row r="412" spans="2:3">
      <c r="B412" s="197">
        <v>45689</v>
      </c>
      <c r="C412" s="198">
        <v>34958.89</v>
      </c>
    </row>
    <row r="413" spans="2:3">
      <c r="B413" s="197">
        <v>45688</v>
      </c>
      <c r="C413" s="198">
        <v>34998.01</v>
      </c>
    </row>
    <row r="414" spans="2:3">
      <c r="B414" s="197">
        <v>45687</v>
      </c>
      <c r="C414" s="198">
        <v>34603.4</v>
      </c>
    </row>
    <row r="415" spans="2:3">
      <c r="B415" s="197">
        <v>45686</v>
      </c>
      <c r="C415" s="198">
        <v>34474.800000000003</v>
      </c>
    </row>
    <row r="416" spans="2:3">
      <c r="B416" s="197">
        <v>45685</v>
      </c>
      <c r="C416" s="198">
        <v>34165.22</v>
      </c>
    </row>
    <row r="417" spans="2:3">
      <c r="B417" s="197">
        <v>45684</v>
      </c>
      <c r="C417" s="198">
        <v>33974.58</v>
      </c>
    </row>
    <row r="418" spans="2:3">
      <c r="B418" s="197">
        <v>45681</v>
      </c>
      <c r="C418" s="198">
        <v>34366.04</v>
      </c>
    </row>
    <row r="419" spans="2:3">
      <c r="B419" s="197">
        <v>45680</v>
      </c>
      <c r="C419" s="198">
        <v>34534.46</v>
      </c>
    </row>
    <row r="420" spans="2:3">
      <c r="B420" s="197">
        <v>45679</v>
      </c>
      <c r="C420" s="198">
        <v>34460.03</v>
      </c>
    </row>
    <row r="421" spans="2:3">
      <c r="B421" s="197">
        <v>45678</v>
      </c>
      <c r="C421" s="198">
        <v>34265.550000000003</v>
      </c>
    </row>
    <row r="422" spans="2:3">
      <c r="B422" s="197">
        <v>45677</v>
      </c>
      <c r="C422" s="198">
        <v>34741.89</v>
      </c>
    </row>
    <row r="423" spans="2:3">
      <c r="B423" s="197">
        <v>45674</v>
      </c>
      <c r="C423" s="198">
        <v>34531.21</v>
      </c>
    </row>
    <row r="424" spans="2:3">
      <c r="B424" s="197">
        <v>45673</v>
      </c>
      <c r="C424" s="198">
        <v>34660.67</v>
      </c>
    </row>
    <row r="425" spans="2:3">
      <c r="B425" s="197">
        <v>45672</v>
      </c>
      <c r="C425" s="198">
        <v>34514.06</v>
      </c>
    </row>
    <row r="426" spans="2:3">
      <c r="B426" s="197">
        <v>45671</v>
      </c>
      <c r="C426" s="198">
        <v>34458.870000000003</v>
      </c>
    </row>
    <row r="427" spans="2:3">
      <c r="B427" s="197">
        <v>45670</v>
      </c>
      <c r="C427" s="198">
        <v>34324.870000000003</v>
      </c>
    </row>
    <row r="428" spans="2:3">
      <c r="B428" s="197">
        <v>45667</v>
      </c>
      <c r="C428" s="198">
        <v>34838.660000000003</v>
      </c>
    </row>
    <row r="429" spans="2:3">
      <c r="B429" s="197">
        <v>45666</v>
      </c>
      <c r="C429" s="198">
        <v>34979.910000000003</v>
      </c>
    </row>
    <row r="430" spans="2:3">
      <c r="B430" s="197">
        <v>45665</v>
      </c>
      <c r="C430" s="198">
        <v>35221.43</v>
      </c>
    </row>
    <row r="431" spans="2:3">
      <c r="B431" s="197">
        <v>45664</v>
      </c>
      <c r="C431" s="198">
        <v>35249.64</v>
      </c>
    </row>
    <row r="432" spans="2:3">
      <c r="B432" s="197">
        <v>45663</v>
      </c>
      <c r="C432" s="198">
        <v>35113.040000000001</v>
      </c>
    </row>
    <row r="433" spans="2:3">
      <c r="B433" s="197">
        <v>45660</v>
      </c>
      <c r="C433" s="198">
        <v>35690.959999999999</v>
      </c>
    </row>
    <row r="434" spans="2:3">
      <c r="B434" s="197">
        <v>45659</v>
      </c>
      <c r="C434" s="198">
        <v>35964.43</v>
      </c>
    </row>
    <row r="435" spans="2:3">
      <c r="B435" s="197">
        <v>45658</v>
      </c>
      <c r="C435" s="198">
        <v>35301.629999999997</v>
      </c>
    </row>
    <row r="436" spans="2:3">
      <c r="B436" s="197">
        <v>45657</v>
      </c>
      <c r="C436" s="198">
        <v>35155.769999999997</v>
      </c>
    </row>
    <row r="437" spans="2:3">
      <c r="B437" s="197">
        <v>45656</v>
      </c>
      <c r="C437" s="198">
        <v>35155.94</v>
      </c>
    </row>
    <row r="438" spans="2:3">
      <c r="B438" s="197">
        <v>45653</v>
      </c>
      <c r="C438" s="198">
        <v>35406.5</v>
      </c>
    </row>
    <row r="439" spans="2:3">
      <c r="B439" s="197">
        <v>45652</v>
      </c>
      <c r="C439" s="198">
        <v>35312.5</v>
      </c>
    </row>
    <row r="440" spans="2:3">
      <c r="B440" s="197">
        <v>45650</v>
      </c>
      <c r="C440" s="198">
        <v>35278.97</v>
      </c>
    </row>
    <row r="441" spans="2:3">
      <c r="B441" s="197">
        <v>45649</v>
      </c>
      <c r="C441" s="198">
        <v>35317.360000000001</v>
      </c>
    </row>
    <row r="442" spans="2:3">
      <c r="B442" s="197">
        <v>45646</v>
      </c>
      <c r="C442" s="198">
        <v>35070.589999999997</v>
      </c>
    </row>
    <row r="443" spans="2:3">
      <c r="B443" s="197">
        <v>45645</v>
      </c>
      <c r="C443" s="198">
        <v>35612.11</v>
      </c>
    </row>
    <row r="444" spans="2:3">
      <c r="B444" s="197">
        <v>45644</v>
      </c>
      <c r="C444" s="198">
        <v>35979.58</v>
      </c>
    </row>
    <row r="445" spans="2:3">
      <c r="B445" s="197">
        <v>45643</v>
      </c>
      <c r="C445" s="198">
        <v>36183.53</v>
      </c>
    </row>
    <row r="446" spans="2:3">
      <c r="B446" s="197">
        <v>45642</v>
      </c>
      <c r="C446" s="198">
        <v>36677.480000000003</v>
      </c>
    </row>
    <row r="447" spans="2:3">
      <c r="B447" s="197">
        <v>45639</v>
      </c>
      <c r="C447" s="198">
        <v>36826.269999999997</v>
      </c>
    </row>
    <row r="448" spans="2:3">
      <c r="B448" s="197">
        <v>45638</v>
      </c>
      <c r="C448" s="198">
        <v>36499.75</v>
      </c>
    </row>
    <row r="449" spans="2:3">
      <c r="B449" s="197">
        <v>45637</v>
      </c>
      <c r="C449" s="198">
        <v>36638.14</v>
      </c>
    </row>
    <row r="450" spans="2:3">
      <c r="B450" s="197">
        <v>45636</v>
      </c>
      <c r="C450" s="198">
        <v>36590.980000000003</v>
      </c>
    </row>
    <row r="451" spans="2:3">
      <c r="B451" s="197">
        <v>45635</v>
      </c>
      <c r="C451" s="198">
        <v>36604.29</v>
      </c>
    </row>
    <row r="452" spans="2:3">
      <c r="B452" s="197">
        <v>45632</v>
      </c>
      <c r="C452" s="198">
        <v>36691.68</v>
      </c>
    </row>
    <row r="453" spans="2:3">
      <c r="B453" s="197">
        <v>45631</v>
      </c>
      <c r="C453" s="198">
        <v>36737.18</v>
      </c>
    </row>
    <row r="454" spans="2:3">
      <c r="B454" s="197">
        <v>45630</v>
      </c>
      <c r="C454" s="198">
        <v>36378.910000000003</v>
      </c>
    </row>
    <row r="455" spans="2:3">
      <c r="B455" s="197">
        <v>45629</v>
      </c>
      <c r="C455" s="198">
        <v>36363.629999999997</v>
      </c>
    </row>
    <row r="456" spans="2:3">
      <c r="B456" s="197">
        <v>45628</v>
      </c>
      <c r="C456" s="198">
        <v>36094.39</v>
      </c>
    </row>
    <row r="457" spans="2:3">
      <c r="B457" s="197">
        <v>45625</v>
      </c>
      <c r="C457" s="198">
        <v>35878.82</v>
      </c>
    </row>
    <row r="458" spans="2:3">
      <c r="B458" s="197">
        <v>45624</v>
      </c>
      <c r="C458" s="198">
        <v>35556.269999999997</v>
      </c>
    </row>
    <row r="459" spans="2:3">
      <c r="B459" s="197">
        <v>45623</v>
      </c>
      <c r="C459" s="198">
        <v>36092.65</v>
      </c>
    </row>
    <row r="460" spans="2:3">
      <c r="B460" s="197">
        <v>45622</v>
      </c>
      <c r="C460" s="198">
        <v>35973.11</v>
      </c>
    </row>
    <row r="461" spans="2:3">
      <c r="B461" s="197">
        <v>45621</v>
      </c>
      <c r="C461" s="198">
        <v>36013.85</v>
      </c>
    </row>
    <row r="462" spans="2:3">
      <c r="B462" s="197">
        <v>45618</v>
      </c>
      <c r="C462" s="198">
        <v>35546.01</v>
      </c>
    </row>
    <row r="463" spans="2:3">
      <c r="B463" s="197">
        <v>45617</v>
      </c>
      <c r="C463" s="198">
        <v>34717.32</v>
      </c>
    </row>
    <row r="464" spans="2:3">
      <c r="B464" s="197">
        <v>45615</v>
      </c>
      <c r="C464" s="198">
        <v>34968</v>
      </c>
    </row>
    <row r="465" spans="2:3">
      <c r="B465" s="197">
        <v>45614</v>
      </c>
      <c r="C465" s="198">
        <v>34871.21</v>
      </c>
    </row>
    <row r="466" spans="2:3">
      <c r="B466" s="197">
        <v>45610</v>
      </c>
      <c r="C466" s="198">
        <v>34988.480000000003</v>
      </c>
    </row>
    <row r="467" spans="2:3">
      <c r="B467" s="197">
        <v>45609</v>
      </c>
      <c r="C467" s="198">
        <v>35020.93</v>
      </c>
    </row>
    <row r="468" spans="2:3">
      <c r="B468" s="197">
        <v>45608</v>
      </c>
      <c r="C468" s="198">
        <v>35503.11</v>
      </c>
    </row>
    <row r="469" spans="2:3">
      <c r="B469" s="197">
        <v>45607</v>
      </c>
      <c r="C469" s="198">
        <v>35886.42</v>
      </c>
    </row>
    <row r="470" spans="2:3">
      <c r="B470" s="197">
        <v>45604</v>
      </c>
      <c r="C470" s="198">
        <v>35896.71</v>
      </c>
    </row>
    <row r="471" spans="2:3">
      <c r="B471" s="197">
        <v>45603</v>
      </c>
      <c r="C471" s="198">
        <v>35972.74</v>
      </c>
    </row>
    <row r="472" spans="2:3">
      <c r="B472" s="197">
        <v>45602</v>
      </c>
      <c r="C472" s="198">
        <v>36393.85</v>
      </c>
    </row>
    <row r="473" spans="2:3">
      <c r="B473" s="197">
        <v>45601</v>
      </c>
      <c r="C473" s="198">
        <v>35982.959999999999</v>
      </c>
    </row>
    <row r="474" spans="2:3">
      <c r="B474" s="197">
        <v>45600</v>
      </c>
      <c r="C474" s="198">
        <v>35659.07</v>
      </c>
    </row>
    <row r="475" spans="2:3">
      <c r="B475" s="197">
        <v>45597</v>
      </c>
      <c r="C475" s="198">
        <v>36118.25</v>
      </c>
    </row>
    <row r="476" spans="2:3">
      <c r="B476" s="197">
        <v>45596</v>
      </c>
      <c r="C476" s="198">
        <v>35971.14</v>
      </c>
    </row>
    <row r="477" spans="2:3">
      <c r="B477" s="197">
        <v>45595</v>
      </c>
      <c r="C477" s="198">
        <v>36165.43</v>
      </c>
    </row>
    <row r="478" spans="2:3">
      <c r="B478" s="197">
        <v>45594</v>
      </c>
      <c r="C478" s="198">
        <v>36352.629999999997</v>
      </c>
    </row>
    <row r="479" spans="2:3">
      <c r="B479" s="197">
        <v>45593</v>
      </c>
      <c r="C479" s="198">
        <v>36138.03</v>
      </c>
    </row>
    <row r="480" spans="2:3">
      <c r="B480" s="197">
        <v>45590</v>
      </c>
      <c r="C480" s="198">
        <v>35902.92</v>
      </c>
    </row>
    <row r="481" spans="2:3">
      <c r="B481" s="197">
        <v>45589</v>
      </c>
      <c r="C481" s="198">
        <v>36227.519999999997</v>
      </c>
    </row>
    <row r="482" spans="2:3">
      <c r="B482" s="197">
        <v>45588</v>
      </c>
      <c r="C482" s="198">
        <v>36281.1</v>
      </c>
    </row>
    <row r="483" spans="2:3">
      <c r="B483" s="197">
        <v>45587</v>
      </c>
      <c r="C483" s="198">
        <v>36335.46</v>
      </c>
    </row>
    <row r="484" spans="2:3">
      <c r="B484" s="197">
        <v>45586</v>
      </c>
      <c r="C484" s="198">
        <v>36789.949999999997</v>
      </c>
    </row>
    <row r="485" spans="2:3">
      <c r="B485" s="197">
        <v>45583</v>
      </c>
      <c r="C485" s="198">
        <v>36898.25</v>
      </c>
    </row>
    <row r="486" spans="2:3">
      <c r="B486" s="197">
        <v>45582</v>
      </c>
      <c r="C486" s="198">
        <v>36740.300000000003</v>
      </c>
    </row>
    <row r="487" spans="2:3">
      <c r="B487" s="197">
        <v>45581</v>
      </c>
      <c r="C487" s="198">
        <v>37068.99</v>
      </c>
    </row>
    <row r="488" spans="2:3">
      <c r="B488" s="197">
        <v>45580</v>
      </c>
      <c r="C488" s="198">
        <v>37196.69</v>
      </c>
    </row>
    <row r="489" spans="2:3">
      <c r="B489" s="197">
        <v>45579</v>
      </c>
      <c r="C489" s="198">
        <v>37301.5</v>
      </c>
    </row>
    <row r="490" spans="2:3">
      <c r="B490" s="197">
        <v>45576</v>
      </c>
      <c r="C490" s="198">
        <v>37058.49</v>
      </c>
    </row>
    <row r="491" spans="2:3">
      <c r="B491" s="197">
        <v>45575</v>
      </c>
      <c r="C491" s="198">
        <v>37109.26</v>
      </c>
    </row>
    <row r="492" spans="2:3">
      <c r="B492" s="197">
        <v>45574</v>
      </c>
      <c r="C492" s="198">
        <v>37084.75</v>
      </c>
    </row>
    <row r="493" spans="2:3">
      <c r="B493" s="197">
        <v>45573</v>
      </c>
      <c r="C493" s="198">
        <v>37131.07</v>
      </c>
    </row>
    <row r="494" spans="2:3">
      <c r="B494" s="197">
        <v>45572</v>
      </c>
      <c r="C494" s="198">
        <v>36808.370000000003</v>
      </c>
    </row>
    <row r="495" spans="2:3">
      <c r="B495" s="197">
        <v>45569</v>
      </c>
      <c r="C495" s="198">
        <v>37133.25</v>
      </c>
    </row>
    <row r="496" spans="2:3">
      <c r="B496" s="197">
        <v>45568</v>
      </c>
      <c r="C496" s="198">
        <v>37482.839999999997</v>
      </c>
    </row>
    <row r="497" spans="2:3">
      <c r="B497" s="197">
        <v>45566</v>
      </c>
      <c r="C497" s="198">
        <v>38294.54</v>
      </c>
    </row>
    <row r="498" spans="2:3">
      <c r="B498" s="197">
        <v>45565</v>
      </c>
      <c r="C498" s="198">
        <v>38315.21</v>
      </c>
    </row>
    <row r="499" spans="2:3">
      <c r="B499" s="197">
        <v>45562</v>
      </c>
      <c r="C499" s="198">
        <v>38861.64</v>
      </c>
    </row>
    <row r="500" spans="2:3">
      <c r="B500" s="197">
        <v>45561</v>
      </c>
      <c r="C500" s="198">
        <v>38916.76</v>
      </c>
    </row>
    <row r="501" spans="2:3">
      <c r="B501" s="197">
        <v>45560</v>
      </c>
      <c r="C501" s="198">
        <v>38602.21</v>
      </c>
    </row>
    <row r="502" spans="2:3">
      <c r="B502" s="197">
        <v>45559</v>
      </c>
      <c r="C502" s="198">
        <v>38507.550000000003</v>
      </c>
    </row>
    <row r="503" spans="2:3">
      <c r="B503" s="197">
        <v>45558</v>
      </c>
      <c r="C503" s="198">
        <v>38505.51</v>
      </c>
    </row>
    <row r="504" spans="2:3">
      <c r="B504" s="197">
        <v>45555</v>
      </c>
      <c r="C504" s="198">
        <v>38285.67</v>
      </c>
    </row>
    <row r="505" spans="2:3">
      <c r="B505" s="197">
        <v>45554</v>
      </c>
      <c r="C505" s="198">
        <v>37728.83</v>
      </c>
    </row>
    <row r="506" spans="2:3">
      <c r="B506" s="197">
        <v>45553</v>
      </c>
      <c r="C506" s="198">
        <v>37672.03</v>
      </c>
    </row>
    <row r="507" spans="2:3">
      <c r="B507" s="197">
        <v>45552</v>
      </c>
      <c r="C507" s="198">
        <v>37732.870000000003</v>
      </c>
    </row>
    <row r="508" spans="2:3">
      <c r="B508" s="197">
        <v>45551</v>
      </c>
      <c r="C508" s="198">
        <v>37681.24</v>
      </c>
    </row>
    <row r="509" spans="2:3">
      <c r="B509" s="197">
        <v>45548</v>
      </c>
      <c r="C509" s="198">
        <v>37640.800000000003</v>
      </c>
    </row>
    <row r="510" spans="2:3">
      <c r="B510" s="197">
        <v>45547</v>
      </c>
      <c r="C510" s="198">
        <v>37688.9</v>
      </c>
    </row>
    <row r="511" spans="2:3">
      <c r="B511" s="197">
        <v>45546</v>
      </c>
      <c r="C511" s="198">
        <v>36990.519999999997</v>
      </c>
    </row>
    <row r="512" spans="2:3">
      <c r="B512" s="197">
        <v>45545</v>
      </c>
      <c r="C512" s="198">
        <v>37172.57</v>
      </c>
    </row>
    <row r="513" spans="2:3">
      <c r="B513" s="197">
        <v>45544</v>
      </c>
      <c r="C513" s="198">
        <v>37017.15</v>
      </c>
    </row>
    <row r="514" spans="2:3">
      <c r="B514" s="197">
        <v>45541</v>
      </c>
      <c r="C514" s="198">
        <v>36892.07</v>
      </c>
    </row>
    <row r="515" spans="2:3">
      <c r="B515" s="197">
        <v>45540</v>
      </c>
      <c r="C515" s="198">
        <v>37326.99</v>
      </c>
    </row>
    <row r="516" spans="2:3">
      <c r="B516" s="197">
        <v>45539</v>
      </c>
      <c r="C516" s="198">
        <v>37406.550000000003</v>
      </c>
    </row>
    <row r="517" spans="2:3">
      <c r="B517" s="197">
        <v>45538</v>
      </c>
      <c r="C517" s="198">
        <v>37526.97</v>
      </c>
    </row>
    <row r="518" spans="2:3">
      <c r="B518" s="197">
        <v>45537</v>
      </c>
      <c r="C518" s="198">
        <v>37525.279999999999</v>
      </c>
    </row>
    <row r="519" spans="2:3">
      <c r="B519" s="197">
        <v>45534</v>
      </c>
      <c r="C519" s="198">
        <v>37461.730000000003</v>
      </c>
    </row>
    <row r="520" spans="2:3">
      <c r="B520" s="197">
        <v>45533</v>
      </c>
      <c r="C520" s="198">
        <v>37337.089999999997</v>
      </c>
    </row>
    <row r="521" spans="2:3">
      <c r="B521" s="197">
        <v>45532</v>
      </c>
      <c r="C521" s="198">
        <v>37189.269999999997</v>
      </c>
    </row>
    <row r="522" spans="2:3">
      <c r="B522" s="197">
        <v>45531</v>
      </c>
      <c r="C522" s="198">
        <v>37137.910000000003</v>
      </c>
    </row>
    <row r="523" spans="2:3">
      <c r="B523" s="197">
        <v>45530</v>
      </c>
      <c r="C523" s="198">
        <v>37127.300000000003</v>
      </c>
    </row>
    <row r="524" spans="2:3">
      <c r="B524" s="197">
        <v>45527</v>
      </c>
      <c r="C524" s="198">
        <v>36849.019999999997</v>
      </c>
    </row>
    <row r="525" spans="2:3">
      <c r="B525" s="197">
        <v>45526</v>
      </c>
      <c r="C525" s="198">
        <v>36828.5</v>
      </c>
    </row>
    <row r="526" spans="2:3">
      <c r="B526" s="197">
        <v>45525</v>
      </c>
      <c r="C526" s="198">
        <v>36767.19</v>
      </c>
    </row>
    <row r="527" spans="2:3">
      <c r="B527" s="197">
        <v>45524</v>
      </c>
      <c r="C527" s="198">
        <v>36661.24</v>
      </c>
    </row>
    <row r="528" spans="2:3">
      <c r="B528" s="197">
        <v>45523</v>
      </c>
      <c r="C528" s="198">
        <v>36473.949999999997</v>
      </c>
    </row>
    <row r="529" spans="2:3">
      <c r="B529" s="197">
        <v>45520</v>
      </c>
      <c r="C529" s="198">
        <v>36415.85</v>
      </c>
    </row>
    <row r="530" spans="2:3">
      <c r="B530" s="197">
        <v>45518</v>
      </c>
      <c r="C530" s="198">
        <v>35817.89</v>
      </c>
    </row>
    <row r="531" spans="2:3">
      <c r="B531" s="197">
        <v>45517</v>
      </c>
      <c r="C531" s="198">
        <v>35810.83</v>
      </c>
    </row>
    <row r="532" spans="2:3">
      <c r="B532" s="197">
        <v>45516</v>
      </c>
      <c r="C532" s="198">
        <v>36119.449999999997</v>
      </c>
    </row>
    <row r="533" spans="2:3">
      <c r="B533" s="197">
        <v>45513</v>
      </c>
      <c r="C533" s="198">
        <v>36126.230000000003</v>
      </c>
    </row>
    <row r="534" spans="2:3">
      <c r="B534" s="197">
        <v>45512</v>
      </c>
      <c r="C534" s="198">
        <v>35753.120000000003</v>
      </c>
    </row>
    <row r="535" spans="2:3">
      <c r="B535" s="197">
        <v>45511</v>
      </c>
      <c r="C535" s="198">
        <v>36020.75</v>
      </c>
    </row>
    <row r="536" spans="2:3">
      <c r="B536" s="197">
        <v>45510</v>
      </c>
      <c r="C536" s="198">
        <v>35554.15</v>
      </c>
    </row>
    <row r="537" spans="2:3">
      <c r="B537" s="197">
        <v>45509</v>
      </c>
      <c r="C537" s="198">
        <v>35646.370000000003</v>
      </c>
    </row>
    <row r="538" spans="2:3">
      <c r="B538" s="197">
        <v>45506</v>
      </c>
      <c r="C538" s="198">
        <v>36624.49</v>
      </c>
    </row>
    <row r="539" spans="2:3">
      <c r="B539" s="197">
        <v>45505</v>
      </c>
      <c r="C539" s="198">
        <v>37049.699999999997</v>
      </c>
    </row>
    <row r="540" spans="2:3">
      <c r="B540" s="197">
        <v>45504</v>
      </c>
      <c r="C540" s="198">
        <v>36959.480000000003</v>
      </c>
    </row>
    <row r="541" spans="2:3">
      <c r="B541" s="197">
        <v>45503</v>
      </c>
      <c r="C541" s="198">
        <v>36820.47</v>
      </c>
    </row>
    <row r="542" spans="2:3">
      <c r="B542" s="197">
        <v>45502</v>
      </c>
      <c r="C542" s="198">
        <v>36786.300000000003</v>
      </c>
    </row>
    <row r="543" spans="2:3">
      <c r="B543" s="197">
        <v>45499</v>
      </c>
      <c r="C543" s="198">
        <v>36784.480000000003</v>
      </c>
    </row>
    <row r="544" spans="2:3">
      <c r="B544" s="197">
        <v>45498</v>
      </c>
      <c r="C544" s="198">
        <v>36149.4</v>
      </c>
    </row>
    <row r="545" spans="2:3">
      <c r="B545" s="197">
        <v>45497</v>
      </c>
      <c r="C545" s="198">
        <v>36160.36</v>
      </c>
    </row>
    <row r="546" spans="2:3">
      <c r="B546" s="197">
        <v>45496</v>
      </c>
      <c r="C546" s="198">
        <v>36257.51</v>
      </c>
    </row>
    <row r="547" spans="2:3">
      <c r="B547" s="197">
        <v>45495</v>
      </c>
      <c r="C547" s="198">
        <v>36296.550000000003</v>
      </c>
    </row>
    <row r="548" spans="2:3">
      <c r="B548" s="197">
        <v>45492</v>
      </c>
      <c r="C548" s="198">
        <v>36328.6</v>
      </c>
    </row>
    <row r="549" spans="2:3">
      <c r="B549" s="197">
        <v>45491</v>
      </c>
      <c r="C549" s="198">
        <v>36723.93</v>
      </c>
    </row>
    <row r="550" spans="2:3">
      <c r="B550" s="197">
        <v>45489</v>
      </c>
      <c r="C550" s="198">
        <v>36445.79</v>
      </c>
    </row>
    <row r="551" spans="2:3">
      <c r="B551" s="197">
        <v>45488</v>
      </c>
      <c r="C551" s="198">
        <v>36403.86</v>
      </c>
    </row>
    <row r="552" spans="2:3">
      <c r="B552" s="197">
        <v>45485</v>
      </c>
      <c r="C552" s="198">
        <v>36278.67</v>
      </c>
    </row>
    <row r="553" spans="2:3">
      <c r="B553" s="197">
        <v>45484</v>
      </c>
      <c r="C553" s="198">
        <v>36000.25</v>
      </c>
    </row>
    <row r="554" spans="2:3">
      <c r="B554" s="197">
        <v>45483</v>
      </c>
      <c r="C554" s="198">
        <v>36012.82</v>
      </c>
    </row>
    <row r="555" spans="2:3">
      <c r="B555" s="197">
        <v>45482</v>
      </c>
      <c r="C555" s="198">
        <v>36173.870000000003</v>
      </c>
    </row>
    <row r="556" spans="2:3">
      <c r="B556" s="197">
        <v>45481</v>
      </c>
      <c r="C556" s="198">
        <v>36004.74</v>
      </c>
    </row>
    <row r="557" spans="2:3">
      <c r="B557" s="197">
        <v>45478</v>
      </c>
      <c r="C557" s="198">
        <v>36009.61</v>
      </c>
    </row>
    <row r="558" spans="2:3">
      <c r="B558" s="197">
        <v>45476</v>
      </c>
      <c r="C558" s="198">
        <v>35947.53</v>
      </c>
    </row>
    <row r="559" spans="2:3">
      <c r="B559" s="197">
        <v>45475</v>
      </c>
      <c r="C559" s="198">
        <v>35706.769999999997</v>
      </c>
    </row>
    <row r="560" spans="2:3">
      <c r="B560" s="197">
        <v>45474</v>
      </c>
      <c r="C560" s="198">
        <v>35733.58</v>
      </c>
    </row>
    <row r="561" spans="2:3">
      <c r="B561" s="197">
        <v>45471</v>
      </c>
      <c r="C561" s="198">
        <v>35539.160000000003</v>
      </c>
    </row>
    <row r="562" spans="2:3">
      <c r="B562" s="197">
        <v>45470</v>
      </c>
      <c r="C562" s="198">
        <v>35585.620000000003</v>
      </c>
    </row>
    <row r="563" spans="2:3">
      <c r="B563" s="197">
        <v>45469</v>
      </c>
      <c r="C563" s="198">
        <v>35324.11</v>
      </c>
    </row>
    <row r="564" spans="2:3">
      <c r="B564" s="197">
        <v>45468</v>
      </c>
      <c r="C564" s="198">
        <v>35105.79</v>
      </c>
    </row>
    <row r="565" spans="2:3">
      <c r="B565" s="197">
        <v>45467</v>
      </c>
      <c r="C565" s="198">
        <v>34834.33</v>
      </c>
    </row>
    <row r="566" spans="2:3">
      <c r="B566" s="197">
        <v>45464</v>
      </c>
      <c r="C566" s="198">
        <v>34779.9</v>
      </c>
    </row>
    <row r="567" spans="2:3">
      <c r="B567" s="197">
        <v>45463</v>
      </c>
      <c r="C567" s="198">
        <v>34873.15</v>
      </c>
    </row>
    <row r="568" spans="2:3">
      <c r="B568" s="197">
        <v>45462</v>
      </c>
      <c r="C568" s="198">
        <v>34786.58</v>
      </c>
    </row>
    <row r="569" spans="2:3">
      <c r="B569" s="197">
        <v>45461</v>
      </c>
      <c r="C569" s="198">
        <v>34847.24</v>
      </c>
    </row>
    <row r="570" spans="2:3">
      <c r="B570" s="197">
        <v>45457</v>
      </c>
      <c r="C570" s="198">
        <v>34710.67</v>
      </c>
    </row>
    <row r="571" spans="2:3">
      <c r="B571" s="197">
        <v>45456</v>
      </c>
      <c r="C571" s="198">
        <v>34600.19</v>
      </c>
    </row>
    <row r="572" spans="2:3">
      <c r="B572" s="197">
        <v>45455</v>
      </c>
      <c r="C572" s="198">
        <v>34487.879999999997</v>
      </c>
    </row>
    <row r="573" spans="2:3">
      <c r="B573" s="197">
        <v>45454</v>
      </c>
      <c r="C573" s="198">
        <v>34402</v>
      </c>
    </row>
    <row r="574" spans="2:3">
      <c r="B574" s="197">
        <v>45453</v>
      </c>
      <c r="C574" s="198">
        <v>34385.839999999997</v>
      </c>
    </row>
    <row r="575" spans="2:3">
      <c r="B575" s="197">
        <v>45450</v>
      </c>
      <c r="C575" s="198">
        <v>34431.61</v>
      </c>
    </row>
    <row r="576" spans="2:3">
      <c r="B576" s="197">
        <v>45449</v>
      </c>
      <c r="C576" s="198">
        <v>33738.58</v>
      </c>
    </row>
    <row r="577" spans="2:3">
      <c r="B577" s="197">
        <v>45448</v>
      </c>
      <c r="C577" s="198">
        <v>33441.4</v>
      </c>
    </row>
    <row r="578" spans="2:3">
      <c r="B578" s="197">
        <v>45447</v>
      </c>
      <c r="C578" s="198">
        <v>32353.5</v>
      </c>
    </row>
    <row r="579" spans="2:3">
      <c r="B579" s="197">
        <v>45446</v>
      </c>
      <c r="C579" s="198">
        <v>34369.129999999997</v>
      </c>
    </row>
    <row r="580" spans="2:3">
      <c r="B580" s="197">
        <v>45443</v>
      </c>
      <c r="C580" s="198">
        <v>33285.9</v>
      </c>
    </row>
    <row r="581" spans="2:3">
      <c r="B581" s="197">
        <v>45442</v>
      </c>
      <c r="C581" s="198">
        <v>33190.35</v>
      </c>
    </row>
    <row r="582" spans="2:3">
      <c r="B582" s="197">
        <v>45441</v>
      </c>
      <c r="C582" s="198">
        <v>33509.230000000003</v>
      </c>
    </row>
    <row r="583" spans="2:3">
      <c r="B583" s="197">
        <v>45440</v>
      </c>
      <c r="C583" s="198">
        <v>33780.01</v>
      </c>
    </row>
    <row r="584" spans="2:3">
      <c r="B584" s="197">
        <v>45439</v>
      </c>
      <c r="C584" s="198">
        <v>33845.39</v>
      </c>
    </row>
    <row r="585" spans="2:3">
      <c r="B585" s="197">
        <v>45436</v>
      </c>
      <c r="C585" s="198">
        <v>33881.75</v>
      </c>
    </row>
    <row r="586" spans="2:3">
      <c r="B586" s="197">
        <v>45435</v>
      </c>
      <c r="C586" s="198">
        <v>33895.660000000003</v>
      </c>
    </row>
    <row r="587" spans="2:3">
      <c r="B587" s="197">
        <v>45434</v>
      </c>
      <c r="C587" s="198">
        <v>33349.839999999997</v>
      </c>
    </row>
    <row r="588" spans="2:3">
      <c r="B588" s="197">
        <v>45433</v>
      </c>
      <c r="C588" s="198">
        <v>33230.839999999997</v>
      </c>
    </row>
    <row r="589" spans="2:3">
      <c r="B589" s="197">
        <v>45430</v>
      </c>
      <c r="C589" s="198">
        <v>33190.97</v>
      </c>
    </row>
    <row r="590" spans="2:3">
      <c r="B590" s="197">
        <v>45429</v>
      </c>
      <c r="C590" s="198">
        <v>33138.019999999997</v>
      </c>
    </row>
    <row r="591" spans="2:3">
      <c r="B591" s="197">
        <v>45428</v>
      </c>
      <c r="C591" s="198">
        <v>33046.160000000003</v>
      </c>
    </row>
    <row r="592" spans="2:3">
      <c r="B592" s="197">
        <v>45427</v>
      </c>
      <c r="C592" s="198">
        <v>32736.91</v>
      </c>
    </row>
    <row r="593" spans="2:3">
      <c r="B593" s="197">
        <v>45426</v>
      </c>
      <c r="C593" s="198">
        <v>32762.37</v>
      </c>
    </row>
    <row r="594" spans="2:3">
      <c r="B594" s="197">
        <v>45425</v>
      </c>
      <c r="C594" s="198">
        <v>32594.61</v>
      </c>
    </row>
    <row r="595" spans="2:3">
      <c r="B595" s="197">
        <v>45422</v>
      </c>
      <c r="C595" s="198">
        <v>32522.55</v>
      </c>
    </row>
    <row r="596" spans="2:3">
      <c r="B596" s="197">
        <v>45421</v>
      </c>
      <c r="C596" s="198">
        <v>32329.72</v>
      </c>
    </row>
    <row r="597" spans="2:3">
      <c r="B597" s="197">
        <v>45420</v>
      </c>
      <c r="C597" s="198">
        <v>32837.65</v>
      </c>
    </row>
    <row r="598" spans="2:3">
      <c r="B598" s="197">
        <v>45419</v>
      </c>
      <c r="C598" s="198">
        <v>32837.71</v>
      </c>
    </row>
    <row r="599" spans="2:3">
      <c r="B599" s="197">
        <v>45418</v>
      </c>
      <c r="C599" s="198">
        <v>33037.730000000003</v>
      </c>
    </row>
    <row r="600" spans="2:3">
      <c r="B600" s="197">
        <v>45415</v>
      </c>
      <c r="C600" s="198">
        <v>33086.51</v>
      </c>
    </row>
    <row r="601" spans="2:3">
      <c r="B601" s="197">
        <v>45414</v>
      </c>
      <c r="C601" s="198">
        <v>33340.199999999997</v>
      </c>
    </row>
    <row r="602" spans="2:3">
      <c r="B602" s="197">
        <v>45412</v>
      </c>
      <c r="C602" s="198">
        <v>33276.410000000003</v>
      </c>
    </row>
    <row r="603" spans="2:3">
      <c r="B603" s="197">
        <v>45408</v>
      </c>
      <c r="C603" s="198">
        <v>33333.120000000003</v>
      </c>
    </row>
    <row r="604" spans="2:3">
      <c r="B604" s="197">
        <v>45407</v>
      </c>
      <c r="C604" s="198">
        <v>33225.64</v>
      </c>
    </row>
    <row r="605" spans="2:3">
      <c r="B605" s="197">
        <v>45406</v>
      </c>
      <c r="C605" s="198">
        <v>32978.370000000003</v>
      </c>
    </row>
    <row r="606" spans="2:3">
      <c r="B606" s="197">
        <v>45405</v>
      </c>
      <c r="C606" s="198">
        <v>32927.730000000003</v>
      </c>
    </row>
    <row r="607" spans="2:3">
      <c r="B607" s="197">
        <v>45404</v>
      </c>
      <c r="C607" s="198">
        <v>32881.22</v>
      </c>
    </row>
    <row r="608" spans="2:3">
      <c r="B608" s="197">
        <v>45401</v>
      </c>
      <c r="C608" s="198">
        <v>32602.42</v>
      </c>
    </row>
    <row r="609" spans="2:3">
      <c r="B609" s="197">
        <v>45400</v>
      </c>
      <c r="C609" s="198">
        <v>32379.9</v>
      </c>
    </row>
    <row r="610" spans="2:3">
      <c r="B610" s="197">
        <v>45398</v>
      </c>
      <c r="C610" s="198">
        <v>32603.74</v>
      </c>
    </row>
    <row r="611" spans="2:3">
      <c r="B611" s="197">
        <v>45397</v>
      </c>
      <c r="C611" s="198">
        <v>32787.15</v>
      </c>
    </row>
    <row r="612" spans="2:3">
      <c r="B612" s="197">
        <v>45394</v>
      </c>
      <c r="C612" s="198">
        <v>33150.589999999997</v>
      </c>
    </row>
    <row r="613" spans="2:3">
      <c r="B613" s="197">
        <v>45392</v>
      </c>
      <c r="C613" s="198">
        <v>33495.65</v>
      </c>
    </row>
    <row r="614" spans="2:3">
      <c r="B614" s="197">
        <v>45391</v>
      </c>
      <c r="C614" s="198">
        <v>33332.19</v>
      </c>
    </row>
    <row r="615" spans="2:3">
      <c r="B615" s="197">
        <v>45390</v>
      </c>
      <c r="C615" s="198">
        <v>33366.870000000003</v>
      </c>
    </row>
    <row r="616" spans="2:3">
      <c r="B616" s="197">
        <v>45387</v>
      </c>
      <c r="C616" s="198">
        <v>33142.19</v>
      </c>
    </row>
    <row r="617" spans="2:3">
      <c r="B617" s="197">
        <v>45386</v>
      </c>
      <c r="C617" s="198">
        <v>33143.589999999997</v>
      </c>
    </row>
    <row r="618" spans="2:3">
      <c r="B618" s="197">
        <v>45385</v>
      </c>
      <c r="C618" s="198">
        <v>33025.82</v>
      </c>
    </row>
    <row r="619" spans="2:3">
      <c r="B619" s="197">
        <v>45384</v>
      </c>
      <c r="C619" s="198">
        <v>33053.33</v>
      </c>
    </row>
    <row r="620" spans="2:3">
      <c r="B620" s="197">
        <v>45383</v>
      </c>
      <c r="C620" s="198">
        <v>33066.129999999997</v>
      </c>
    </row>
    <row r="621" spans="2:3">
      <c r="B621" s="197">
        <v>45379</v>
      </c>
      <c r="C621" s="198">
        <v>32867.230000000003</v>
      </c>
    </row>
    <row r="622" spans="2:3">
      <c r="B622" s="197">
        <v>45378</v>
      </c>
      <c r="C622" s="198">
        <v>32568.01</v>
      </c>
    </row>
    <row r="623" spans="2:3">
      <c r="B623" s="197">
        <v>45377</v>
      </c>
      <c r="C623" s="198">
        <v>32392.94</v>
      </c>
    </row>
    <row r="624" spans="2:3">
      <c r="B624" s="197">
        <v>45373</v>
      </c>
      <c r="C624" s="198">
        <v>32528.43</v>
      </c>
    </row>
    <row r="625" spans="2:3">
      <c r="B625" s="197">
        <v>45372</v>
      </c>
      <c r="C625" s="198">
        <v>32403.599999999999</v>
      </c>
    </row>
    <row r="626" spans="2:3">
      <c r="B626" s="197">
        <v>45371</v>
      </c>
      <c r="C626" s="198">
        <v>32149.17</v>
      </c>
    </row>
    <row r="627" spans="2:3">
      <c r="B627" s="197">
        <v>45370</v>
      </c>
      <c r="C627" s="198">
        <v>32117.3</v>
      </c>
    </row>
    <row r="628" spans="2:3">
      <c r="B628" s="197">
        <v>45369</v>
      </c>
      <c r="C628" s="198">
        <v>32468</v>
      </c>
    </row>
    <row r="629" spans="2:3">
      <c r="B629" s="197">
        <v>45367</v>
      </c>
      <c r="C629" s="198">
        <v>32603.74</v>
      </c>
    </row>
    <row r="630" spans="2:3">
      <c r="B630" s="197">
        <v>45366</v>
      </c>
      <c r="C630" s="198">
        <v>32420.41</v>
      </c>
    </row>
    <row r="631" spans="2:3">
      <c r="B631" s="197">
        <v>45365</v>
      </c>
      <c r="C631" s="198">
        <v>32601.49</v>
      </c>
    </row>
    <row r="632" spans="2:3">
      <c r="B632" s="197">
        <v>45364</v>
      </c>
      <c r="C632" s="198">
        <v>32382.22</v>
      </c>
    </row>
    <row r="633" spans="2:3">
      <c r="B633" s="197">
        <v>45363</v>
      </c>
      <c r="C633" s="198">
        <v>32879.74</v>
      </c>
    </row>
    <row r="634" spans="2:3">
      <c r="B634" s="197">
        <v>45362</v>
      </c>
      <c r="C634" s="198">
        <v>32875.25</v>
      </c>
    </row>
    <row r="635" spans="2:3">
      <c r="B635" s="197">
        <v>45358</v>
      </c>
      <c r="C635" s="198">
        <v>33112.15</v>
      </c>
    </row>
    <row r="636" spans="2:3">
      <c r="B636" s="197">
        <v>45357</v>
      </c>
      <c r="C636" s="198">
        <v>33083.42</v>
      </c>
    </row>
    <row r="637" spans="2:3">
      <c r="B637" s="197">
        <v>45356</v>
      </c>
      <c r="C637" s="198">
        <v>32910.07</v>
      </c>
    </row>
    <row r="638" spans="2:3">
      <c r="B638" s="197">
        <v>45355</v>
      </c>
      <c r="C638" s="198">
        <v>32982.68</v>
      </c>
    </row>
    <row r="639" spans="2:3">
      <c r="B639" s="197">
        <v>45353</v>
      </c>
      <c r="C639" s="198">
        <v>32942.629999999997</v>
      </c>
    </row>
    <row r="640" spans="2:3">
      <c r="B640" s="197">
        <v>45352</v>
      </c>
      <c r="C640" s="198">
        <v>32884.29</v>
      </c>
    </row>
    <row r="641" spans="2:3">
      <c r="B641" s="197">
        <v>45351</v>
      </c>
      <c r="C641" s="198">
        <v>32360.25</v>
      </c>
    </row>
    <row r="642" spans="2:3">
      <c r="B642" s="197">
        <v>45350</v>
      </c>
      <c r="C642" s="198">
        <v>32313.7</v>
      </c>
    </row>
    <row r="643" spans="2:3">
      <c r="B643" s="197">
        <v>45349</v>
      </c>
      <c r="C643" s="198">
        <v>32677.61</v>
      </c>
    </row>
    <row r="644" spans="2:3">
      <c r="B644" s="197">
        <v>45348</v>
      </c>
      <c r="C644" s="198">
        <v>32565.29</v>
      </c>
    </row>
    <row r="645" spans="2:3">
      <c r="B645" s="197">
        <v>45345</v>
      </c>
      <c r="C645" s="198">
        <v>32698.69</v>
      </c>
    </row>
    <row r="646" spans="2:3">
      <c r="B646" s="197">
        <v>45344</v>
      </c>
      <c r="C646" s="198">
        <v>32705.7</v>
      </c>
    </row>
    <row r="647" spans="2:3">
      <c r="B647" s="197">
        <v>45343</v>
      </c>
      <c r="C647" s="198">
        <v>32466.65</v>
      </c>
    </row>
    <row r="648" spans="2:3">
      <c r="B648" s="197">
        <v>45342</v>
      </c>
      <c r="C648" s="198">
        <v>32675.53</v>
      </c>
    </row>
    <row r="649" spans="2:3">
      <c r="B649" s="197">
        <v>45341</v>
      </c>
      <c r="C649" s="198">
        <v>32561.34</v>
      </c>
    </row>
    <row r="650" spans="2:3">
      <c r="B650" s="197">
        <v>45338</v>
      </c>
      <c r="C650" s="198">
        <v>32441.32</v>
      </c>
    </row>
    <row r="651" spans="2:3">
      <c r="B651" s="197">
        <v>45337</v>
      </c>
      <c r="C651" s="198">
        <v>32244.79</v>
      </c>
    </row>
    <row r="652" spans="2:3">
      <c r="B652" s="197">
        <v>45336</v>
      </c>
      <c r="C652" s="198">
        <v>32133.040000000001</v>
      </c>
    </row>
    <row r="653" spans="2:3">
      <c r="B653" s="197">
        <v>45335</v>
      </c>
      <c r="C653" s="198">
        <v>31990.61</v>
      </c>
    </row>
    <row r="654" spans="2:3">
      <c r="B654" s="197">
        <v>45334</v>
      </c>
      <c r="C654" s="198">
        <v>31803.52</v>
      </c>
    </row>
    <row r="655" spans="2:3">
      <c r="B655" s="197">
        <v>45331</v>
      </c>
      <c r="C655" s="198">
        <v>32048.38</v>
      </c>
    </row>
    <row r="656" spans="2:3">
      <c r="B656" s="197">
        <v>45330</v>
      </c>
      <c r="C656" s="198">
        <v>31950.32</v>
      </c>
    </row>
    <row r="657" spans="2:3">
      <c r="B657" s="197">
        <v>45329</v>
      </c>
      <c r="C657" s="198">
        <v>32244.22</v>
      </c>
    </row>
    <row r="658" spans="2:3">
      <c r="B658" s="197">
        <v>45328</v>
      </c>
      <c r="C658" s="198">
        <v>32242.59</v>
      </c>
    </row>
    <row r="659" spans="2:3">
      <c r="B659" s="197">
        <v>45327</v>
      </c>
      <c r="C659" s="198">
        <v>32007.18</v>
      </c>
    </row>
    <row r="660" spans="2:3">
      <c r="B660" s="197">
        <v>45324</v>
      </c>
      <c r="C660" s="198">
        <v>32127.9</v>
      </c>
    </row>
    <row r="661" spans="2:3">
      <c r="B661" s="197">
        <v>45323</v>
      </c>
      <c r="C661" s="198">
        <v>31898.06</v>
      </c>
    </row>
    <row r="662" spans="2:3">
      <c r="B662" s="197">
        <v>45322</v>
      </c>
      <c r="C662" s="198">
        <v>31939.59</v>
      </c>
    </row>
    <row r="663" spans="2:3">
      <c r="B663" s="197">
        <v>45321</v>
      </c>
      <c r="C663" s="198">
        <v>31640.240000000002</v>
      </c>
    </row>
    <row r="664" spans="2:3">
      <c r="B664" s="197">
        <v>45320</v>
      </c>
      <c r="C664" s="198">
        <v>31957.05</v>
      </c>
    </row>
    <row r="665" spans="2:3">
      <c r="B665" s="197">
        <v>45316</v>
      </c>
      <c r="C665" s="198">
        <v>31391.07</v>
      </c>
    </row>
    <row r="666" spans="2:3">
      <c r="B666" s="197">
        <v>45315</v>
      </c>
      <c r="C666" s="198">
        <v>31540.07</v>
      </c>
    </row>
    <row r="667" spans="2:3">
      <c r="B667" s="197">
        <v>45314</v>
      </c>
      <c r="C667" s="198">
        <v>31223.3</v>
      </c>
    </row>
    <row r="668" spans="2:3">
      <c r="B668" s="197">
        <v>45311</v>
      </c>
      <c r="C668" s="198">
        <v>31712.86</v>
      </c>
    </row>
    <row r="669" spans="2:3">
      <c r="B669" s="197">
        <v>45310</v>
      </c>
      <c r="C669" s="198">
        <v>31787.24</v>
      </c>
    </row>
    <row r="670" spans="2:3">
      <c r="B670" s="197">
        <v>45309</v>
      </c>
      <c r="C670" s="198">
        <v>31538.400000000001</v>
      </c>
    </row>
    <row r="671" spans="2:3">
      <c r="B671" s="197">
        <v>45308</v>
      </c>
      <c r="C671" s="198">
        <v>31699.64</v>
      </c>
    </row>
    <row r="672" spans="2:3">
      <c r="B672" s="197">
        <v>45307</v>
      </c>
      <c r="C672" s="198">
        <v>32376.1</v>
      </c>
    </row>
    <row r="673" spans="2:3">
      <c r="B673" s="197">
        <v>45306</v>
      </c>
      <c r="C673" s="198">
        <v>32471.8</v>
      </c>
    </row>
    <row r="674" spans="2:3">
      <c r="B674" s="197">
        <v>45303</v>
      </c>
      <c r="C674" s="198">
        <v>32173.66</v>
      </c>
    </row>
    <row r="675" spans="2:3">
      <c r="B675" s="197">
        <v>45302</v>
      </c>
      <c r="C675" s="198">
        <v>31810.18</v>
      </c>
    </row>
    <row r="676" spans="2:3">
      <c r="B676" s="197">
        <v>45301</v>
      </c>
      <c r="C676" s="198">
        <v>31768.3</v>
      </c>
    </row>
    <row r="677" spans="2:3">
      <c r="B677" s="197">
        <v>45300</v>
      </c>
      <c r="C677" s="198">
        <v>31659.81</v>
      </c>
    </row>
    <row r="678" spans="2:3">
      <c r="B678" s="197">
        <v>45299</v>
      </c>
      <c r="C678" s="198">
        <v>31613.01</v>
      </c>
    </row>
    <row r="679" spans="2:3">
      <c r="B679" s="197">
        <v>45296</v>
      </c>
      <c r="C679" s="198">
        <v>31903.69</v>
      </c>
    </row>
    <row r="680" spans="2:3">
      <c r="B680" s="197">
        <v>45295</v>
      </c>
      <c r="C680" s="198">
        <v>31826.97</v>
      </c>
    </row>
    <row r="681" spans="2:3">
      <c r="B681" s="197">
        <v>45294</v>
      </c>
      <c r="C681" s="198">
        <v>31619.360000000001</v>
      </c>
    </row>
    <row r="682" spans="2:3">
      <c r="B682" s="197">
        <v>45293</v>
      </c>
      <c r="C682" s="198">
        <v>31837.56</v>
      </c>
    </row>
    <row r="683" spans="2:3">
      <c r="B683" s="197">
        <v>45292</v>
      </c>
      <c r="C683" s="198">
        <v>31949.360000000001</v>
      </c>
    </row>
    <row r="684" spans="2:3">
      <c r="B684" s="197">
        <v>45289</v>
      </c>
      <c r="C684" s="198">
        <v>31933.93</v>
      </c>
    </row>
    <row r="685" spans="2:3">
      <c r="B685" s="197">
        <v>45288</v>
      </c>
      <c r="C685" s="198">
        <v>32003.47</v>
      </c>
    </row>
    <row r="686" spans="2:3">
      <c r="B686" s="197">
        <v>45287</v>
      </c>
      <c r="C686" s="198">
        <v>31821.31</v>
      </c>
    </row>
    <row r="687" spans="2:3">
      <c r="B687" s="197">
        <v>45286</v>
      </c>
      <c r="C687" s="198">
        <v>31507.69</v>
      </c>
    </row>
    <row r="688" spans="2:3">
      <c r="B688" s="197">
        <v>45282</v>
      </c>
      <c r="C688" s="198">
        <v>31372.6</v>
      </c>
    </row>
    <row r="689" spans="2:3">
      <c r="B689" s="197">
        <v>45281</v>
      </c>
      <c r="C689" s="198">
        <v>31233.93</v>
      </c>
    </row>
    <row r="690" spans="2:3">
      <c r="B690" s="197">
        <v>45280</v>
      </c>
      <c r="C690" s="198">
        <v>31079.759999999998</v>
      </c>
    </row>
    <row r="691" spans="2:3">
      <c r="B691" s="197">
        <v>45279</v>
      </c>
      <c r="C691" s="198">
        <v>31525</v>
      </c>
    </row>
    <row r="692" spans="2:3">
      <c r="B692" s="197">
        <v>45278</v>
      </c>
      <c r="C692" s="198">
        <v>31474.35</v>
      </c>
    </row>
    <row r="693" spans="2:3">
      <c r="B693" s="197">
        <v>45275</v>
      </c>
      <c r="C693" s="198">
        <v>31530.19</v>
      </c>
    </row>
    <row r="694" spans="2:3">
      <c r="B694" s="197">
        <v>45274</v>
      </c>
      <c r="C694" s="198">
        <v>31127.599999999999</v>
      </c>
    </row>
    <row r="695" spans="2:3">
      <c r="B695" s="197">
        <v>45273</v>
      </c>
      <c r="C695" s="198">
        <v>30750.95</v>
      </c>
    </row>
    <row r="696" spans="2:3">
      <c r="B696" s="197">
        <v>45272</v>
      </c>
      <c r="C696" s="198">
        <v>30721.59</v>
      </c>
    </row>
    <row r="697" spans="2:3">
      <c r="B697" s="197">
        <v>45271</v>
      </c>
      <c r="C697" s="198">
        <v>30854.9</v>
      </c>
    </row>
    <row r="698" spans="2:3">
      <c r="B698" s="197">
        <v>45268</v>
      </c>
      <c r="C698" s="198">
        <v>30814.15</v>
      </c>
    </row>
    <row r="699" spans="2:3">
      <c r="B699" s="197">
        <v>45267</v>
      </c>
      <c r="C699" s="198">
        <v>30713.86</v>
      </c>
    </row>
    <row r="700" spans="2:3">
      <c r="B700" s="197">
        <v>45266</v>
      </c>
      <c r="C700" s="198">
        <v>30767.599999999999</v>
      </c>
    </row>
    <row r="701" spans="2:3">
      <c r="B701" s="197">
        <v>45265</v>
      </c>
      <c r="C701" s="198">
        <v>30646.19</v>
      </c>
    </row>
    <row r="702" spans="2:3">
      <c r="B702" s="197">
        <v>45264</v>
      </c>
      <c r="C702" s="198">
        <v>30398.91</v>
      </c>
    </row>
    <row r="703" spans="2:3">
      <c r="B703" s="197">
        <v>45261</v>
      </c>
      <c r="C703" s="198">
        <v>29783.34</v>
      </c>
    </row>
    <row r="704" spans="2:3">
      <c r="B704" s="197">
        <v>45260</v>
      </c>
      <c r="C704" s="198">
        <v>29585.360000000001</v>
      </c>
    </row>
    <row r="705" spans="2:3">
      <c r="B705" s="197">
        <v>45259</v>
      </c>
      <c r="C705" s="198">
        <v>29531.63</v>
      </c>
    </row>
    <row r="706" spans="2:3">
      <c r="B706" s="197">
        <v>45258</v>
      </c>
      <c r="C706" s="198">
        <v>29227.61</v>
      </c>
    </row>
    <row r="707" spans="2:3">
      <c r="B707" s="197">
        <v>45254</v>
      </c>
      <c r="C707" s="198">
        <v>29087.95</v>
      </c>
    </row>
    <row r="708" spans="2:3">
      <c r="B708" s="197">
        <v>45253</v>
      </c>
      <c r="C708" s="198">
        <v>29098.74</v>
      </c>
    </row>
    <row r="709" spans="2:3">
      <c r="B709" s="197">
        <v>45252</v>
      </c>
      <c r="C709" s="198">
        <v>29113.18</v>
      </c>
    </row>
    <row r="710" spans="2:3">
      <c r="B710" s="197">
        <v>45251</v>
      </c>
      <c r="C710" s="198">
        <v>29071.360000000001</v>
      </c>
    </row>
    <row r="711" spans="2:3">
      <c r="B711" s="197">
        <v>45250</v>
      </c>
      <c r="C711" s="198">
        <v>28939.98</v>
      </c>
    </row>
    <row r="712" spans="2:3">
      <c r="B712" s="197">
        <v>45247</v>
      </c>
      <c r="C712" s="198">
        <v>28995.52</v>
      </c>
    </row>
    <row r="713" spans="2:3">
      <c r="B713" s="197">
        <v>45246</v>
      </c>
      <c r="C713" s="198">
        <v>29044.66</v>
      </c>
    </row>
    <row r="714" spans="2:3">
      <c r="B714" s="197">
        <v>45245</v>
      </c>
      <c r="C714" s="198">
        <v>28906.7</v>
      </c>
    </row>
    <row r="715" spans="2:3">
      <c r="B715" s="197">
        <v>45243</v>
      </c>
      <c r="C715" s="198">
        <v>28565.95</v>
      </c>
    </row>
    <row r="716" spans="2:3">
      <c r="B716" s="197">
        <v>45242</v>
      </c>
      <c r="C716" s="198">
        <v>28686.47</v>
      </c>
    </row>
    <row r="717" spans="2:3">
      <c r="B717" s="197">
        <v>45240</v>
      </c>
      <c r="C717" s="198">
        <v>28539.24</v>
      </c>
    </row>
    <row r="718" spans="2:3">
      <c r="B718" s="197">
        <v>45239</v>
      </c>
      <c r="C718" s="198">
        <v>28495.08</v>
      </c>
    </row>
    <row r="719" spans="2:3">
      <c r="B719" s="197">
        <v>45238</v>
      </c>
      <c r="C719" s="198">
        <v>28565.86</v>
      </c>
    </row>
    <row r="720" spans="2:3">
      <c r="B720" s="197">
        <v>45237</v>
      </c>
      <c r="C720" s="198">
        <v>28511.81</v>
      </c>
    </row>
    <row r="721" spans="2:3">
      <c r="B721" s="197">
        <v>45236</v>
      </c>
      <c r="C721" s="198">
        <v>28519.25</v>
      </c>
    </row>
    <row r="722" spans="2:3">
      <c r="B722" s="197">
        <v>45233</v>
      </c>
      <c r="C722" s="198">
        <v>28253.09</v>
      </c>
    </row>
    <row r="723" spans="2:3">
      <c r="B723" s="197">
        <v>45232</v>
      </c>
      <c r="C723" s="198">
        <v>28105.75</v>
      </c>
    </row>
    <row r="724" spans="2:3">
      <c r="B724" s="197">
        <v>45231</v>
      </c>
      <c r="C724" s="198">
        <v>27886.240000000002</v>
      </c>
    </row>
    <row r="725" spans="2:3">
      <c r="B725" s="197">
        <v>45230</v>
      </c>
      <c r="C725" s="198">
        <v>28017.360000000001</v>
      </c>
    </row>
    <row r="726" spans="2:3">
      <c r="B726" s="197">
        <v>45229</v>
      </c>
      <c r="C726" s="198">
        <v>28107.42</v>
      </c>
    </row>
    <row r="727" spans="2:3">
      <c r="B727" s="197">
        <v>45226</v>
      </c>
      <c r="C727" s="198">
        <v>27969.919999999998</v>
      </c>
    </row>
    <row r="728" spans="2:3">
      <c r="B728" s="197">
        <v>45225</v>
      </c>
      <c r="C728" s="198">
        <v>27690.29</v>
      </c>
    </row>
    <row r="729" spans="2:3">
      <c r="B729" s="197">
        <v>45224</v>
      </c>
      <c r="C729" s="198">
        <v>28079.26</v>
      </c>
    </row>
    <row r="730" spans="2:3">
      <c r="B730" s="197">
        <v>45222</v>
      </c>
      <c r="C730" s="198">
        <v>28291.96</v>
      </c>
    </row>
    <row r="731" spans="2:3">
      <c r="B731" s="197">
        <v>45219</v>
      </c>
      <c r="C731" s="198">
        <v>28674.78</v>
      </c>
    </row>
    <row r="732" spans="2:3">
      <c r="B732" s="197">
        <v>45218</v>
      </c>
      <c r="C732" s="198">
        <v>28790.880000000001</v>
      </c>
    </row>
    <row r="733" spans="2:3">
      <c r="B733" s="197">
        <v>45217</v>
      </c>
      <c r="C733" s="198">
        <v>28855.87</v>
      </c>
    </row>
    <row r="734" spans="2:3">
      <c r="B734" s="197">
        <v>45216</v>
      </c>
      <c r="C734" s="198">
        <v>29061.8</v>
      </c>
    </row>
    <row r="735" spans="2:3">
      <c r="B735" s="197">
        <v>45215</v>
      </c>
      <c r="C735" s="198">
        <v>28944.87</v>
      </c>
    </row>
    <row r="736" spans="2:3">
      <c r="B736" s="197">
        <v>45212</v>
      </c>
      <c r="C736" s="198">
        <v>28973.14</v>
      </c>
    </row>
    <row r="737" spans="2:3">
      <c r="B737" s="197">
        <v>45211</v>
      </c>
      <c r="C737" s="198">
        <v>29036.17</v>
      </c>
    </row>
    <row r="738" spans="2:3">
      <c r="B738" s="197">
        <v>45210</v>
      </c>
      <c r="C738" s="198">
        <v>29061.61</v>
      </c>
    </row>
    <row r="739" spans="2:3">
      <c r="B739" s="197">
        <v>45209</v>
      </c>
      <c r="C739" s="198">
        <v>28883.35</v>
      </c>
    </row>
    <row r="740" spans="2:3">
      <c r="B740" s="197">
        <v>45208</v>
      </c>
      <c r="C740" s="198">
        <v>28622.98</v>
      </c>
    </row>
    <row r="741" spans="2:3">
      <c r="B741" s="197">
        <v>45205</v>
      </c>
      <c r="C741" s="198">
        <v>28830.080000000002</v>
      </c>
    </row>
    <row r="742" spans="2:3">
      <c r="B742" s="197">
        <v>45204</v>
      </c>
      <c r="C742" s="198">
        <v>28671.97</v>
      </c>
    </row>
    <row r="743" spans="2:3">
      <c r="B743" s="197">
        <v>45203</v>
      </c>
      <c r="C743" s="198">
        <v>28511.13</v>
      </c>
    </row>
    <row r="744" spans="2:3">
      <c r="B744" s="197">
        <v>45202</v>
      </c>
      <c r="C744" s="198">
        <v>28647.040000000001</v>
      </c>
    </row>
    <row r="745" spans="2:3">
      <c r="B745" s="197">
        <v>45198</v>
      </c>
      <c r="C745" s="198">
        <v>28807.77</v>
      </c>
    </row>
    <row r="746" spans="2:3">
      <c r="B746" s="197">
        <v>45197</v>
      </c>
      <c r="C746" s="198">
        <v>28639.439999999999</v>
      </c>
    </row>
    <row r="747" spans="2:3">
      <c r="B747" s="197">
        <v>45196</v>
      </c>
      <c r="C747" s="198">
        <v>28922.43</v>
      </c>
    </row>
    <row r="748" spans="2:3">
      <c r="B748" s="197">
        <v>45195</v>
      </c>
      <c r="C748" s="198">
        <v>28846.47</v>
      </c>
    </row>
    <row r="749" spans="2:3">
      <c r="B749" s="197">
        <v>45194</v>
      </c>
      <c r="C749" s="198">
        <v>28860.9</v>
      </c>
    </row>
    <row r="750" spans="2:3">
      <c r="B750" s="197">
        <v>45191</v>
      </c>
      <c r="C750" s="198">
        <v>28860.46</v>
      </c>
    </row>
    <row r="751" spans="2:3">
      <c r="B751" s="197">
        <v>45190</v>
      </c>
      <c r="C751" s="198">
        <v>28960.36</v>
      </c>
    </row>
    <row r="752" spans="2:3">
      <c r="B752" s="197">
        <v>45189</v>
      </c>
      <c r="C752" s="198">
        <v>29193.69</v>
      </c>
    </row>
    <row r="753" spans="2:3">
      <c r="B753" s="197">
        <v>45187</v>
      </c>
      <c r="C753" s="198">
        <v>29533.91</v>
      </c>
    </row>
    <row r="754" spans="2:3">
      <c r="B754" s="197">
        <v>45184</v>
      </c>
      <c r="C754" s="198">
        <v>29620.53</v>
      </c>
    </row>
    <row r="755" spans="2:3">
      <c r="B755" s="197">
        <v>45183</v>
      </c>
      <c r="C755" s="198">
        <v>29489.61</v>
      </c>
    </row>
    <row r="756" spans="2:3">
      <c r="B756" s="197">
        <v>45182</v>
      </c>
      <c r="C756" s="198">
        <v>29441.040000000001</v>
      </c>
    </row>
    <row r="757" spans="2:3">
      <c r="B757" s="197">
        <v>45181</v>
      </c>
      <c r="C757" s="198">
        <v>29328.37</v>
      </c>
    </row>
    <row r="758" spans="2:3">
      <c r="B758" s="197">
        <v>45180</v>
      </c>
      <c r="C758" s="198">
        <v>29333</v>
      </c>
    </row>
    <row r="759" spans="2:3">
      <c r="B759" s="197">
        <v>45177</v>
      </c>
      <c r="C759" s="198">
        <v>29074.22</v>
      </c>
    </row>
    <row r="760" spans="2:3">
      <c r="B760" s="197">
        <v>45176</v>
      </c>
      <c r="C760" s="198">
        <v>28937.96</v>
      </c>
    </row>
    <row r="761" spans="2:3">
      <c r="B761" s="197">
        <v>45175</v>
      </c>
      <c r="C761" s="198">
        <v>28767.78</v>
      </c>
    </row>
    <row r="762" spans="2:3">
      <c r="B762" s="197">
        <v>45174</v>
      </c>
      <c r="C762" s="198">
        <v>28714.78</v>
      </c>
    </row>
    <row r="763" spans="2:3">
      <c r="B763" s="197">
        <v>45173</v>
      </c>
      <c r="C763" s="198">
        <v>28647.16</v>
      </c>
    </row>
    <row r="764" spans="2:3">
      <c r="B764" s="197">
        <v>45170</v>
      </c>
      <c r="C764" s="198">
        <v>28509.94</v>
      </c>
    </row>
    <row r="765" spans="2:3">
      <c r="B765" s="197">
        <v>45169</v>
      </c>
      <c r="C765" s="198">
        <v>28243.74</v>
      </c>
    </row>
    <row r="766" spans="2:3">
      <c r="B766" s="197">
        <v>45168</v>
      </c>
      <c r="C766" s="198">
        <v>28381.13</v>
      </c>
    </row>
    <row r="767" spans="2:3">
      <c r="B767" s="197">
        <v>45167</v>
      </c>
      <c r="C767" s="198">
        <v>28374.03</v>
      </c>
    </row>
    <row r="768" spans="2:3">
      <c r="B768" s="197">
        <v>45166</v>
      </c>
      <c r="C768" s="198">
        <v>28320.400000000001</v>
      </c>
    </row>
    <row r="769" spans="2:3">
      <c r="B769" s="197">
        <v>45163</v>
      </c>
      <c r="C769" s="198">
        <v>28261.32</v>
      </c>
    </row>
    <row r="770" spans="2:3">
      <c r="B770" s="197">
        <v>45162</v>
      </c>
      <c r="C770" s="198">
        <v>28438.68</v>
      </c>
    </row>
    <row r="771" spans="2:3">
      <c r="B771" s="197">
        <v>45161</v>
      </c>
      <c r="C771" s="198">
        <v>28522.76</v>
      </c>
    </row>
    <row r="772" spans="2:3">
      <c r="B772" s="197">
        <v>45160</v>
      </c>
      <c r="C772" s="198">
        <v>28453.01</v>
      </c>
    </row>
    <row r="773" spans="2:3">
      <c r="B773" s="197">
        <v>45159</v>
      </c>
      <c r="C773" s="198">
        <v>28448.83</v>
      </c>
    </row>
    <row r="774" spans="2:3">
      <c r="B774" s="197">
        <v>45156</v>
      </c>
      <c r="C774" s="198">
        <v>28316.31</v>
      </c>
    </row>
    <row r="775" spans="2:3">
      <c r="B775" s="197">
        <v>45155</v>
      </c>
      <c r="C775" s="198">
        <v>28393.16</v>
      </c>
    </row>
    <row r="776" spans="2:3">
      <c r="B776" s="197">
        <v>45154</v>
      </c>
      <c r="C776" s="198">
        <v>28539.38</v>
      </c>
    </row>
    <row r="777" spans="2:3">
      <c r="B777" s="197">
        <v>45152</v>
      </c>
      <c r="C777" s="198">
        <v>28494.78</v>
      </c>
    </row>
    <row r="778" spans="2:3">
      <c r="B778" s="197">
        <v>45149</v>
      </c>
      <c r="C778" s="198">
        <v>28482.45</v>
      </c>
    </row>
    <row r="779" spans="2:3">
      <c r="B779" s="197">
        <v>45148</v>
      </c>
      <c r="C779" s="198">
        <v>28638.92</v>
      </c>
    </row>
    <row r="780" spans="2:3">
      <c r="B780" s="197">
        <v>45147</v>
      </c>
      <c r="C780" s="198">
        <v>28769.97</v>
      </c>
    </row>
    <row r="781" spans="2:3">
      <c r="B781" s="197">
        <v>45146</v>
      </c>
      <c r="C781" s="198">
        <v>28661.08</v>
      </c>
    </row>
    <row r="782" spans="2:3">
      <c r="B782" s="197">
        <v>45145</v>
      </c>
      <c r="C782" s="198">
        <v>28699.8</v>
      </c>
    </row>
    <row r="783" spans="2:3">
      <c r="B783" s="197">
        <v>45142</v>
      </c>
      <c r="C783" s="198">
        <v>28582.25</v>
      </c>
    </row>
    <row r="784" spans="2:3">
      <c r="B784" s="197">
        <v>45141</v>
      </c>
      <c r="C784" s="198">
        <v>28383.279999999999</v>
      </c>
    </row>
    <row r="785" spans="2:3">
      <c r="B785" s="197">
        <v>45140</v>
      </c>
      <c r="C785" s="198">
        <v>28589.81</v>
      </c>
    </row>
    <row r="786" spans="2:3">
      <c r="B786" s="197">
        <v>45139</v>
      </c>
      <c r="C786" s="198">
        <v>28880.78</v>
      </c>
    </row>
    <row r="787" spans="2:3">
      <c r="B787" s="197">
        <v>45138</v>
      </c>
      <c r="C787" s="198">
        <v>28910.43</v>
      </c>
    </row>
    <row r="788" spans="2:3">
      <c r="B788" s="197">
        <v>45135</v>
      </c>
      <c r="C788" s="198">
        <v>28752.69</v>
      </c>
    </row>
    <row r="789" spans="2:3">
      <c r="B789" s="197">
        <v>45134</v>
      </c>
      <c r="C789" s="198">
        <v>28769.02</v>
      </c>
    </row>
    <row r="790" spans="2:3">
      <c r="B790" s="197">
        <v>45133</v>
      </c>
      <c r="C790" s="198">
        <v>28939.3</v>
      </c>
    </row>
    <row r="791" spans="2:3">
      <c r="B791" s="197">
        <v>45132</v>
      </c>
      <c r="C791" s="198">
        <v>28796.35</v>
      </c>
    </row>
    <row r="792" spans="2:3">
      <c r="B792" s="197">
        <v>45131</v>
      </c>
      <c r="C792" s="198">
        <v>28784.26</v>
      </c>
    </row>
    <row r="793" spans="2:3">
      <c r="B793" s="197">
        <v>45128</v>
      </c>
      <c r="C793" s="198">
        <v>28890.53</v>
      </c>
    </row>
    <row r="794" spans="2:3">
      <c r="B794" s="197">
        <v>45127</v>
      </c>
      <c r="C794" s="198">
        <v>29231.71</v>
      </c>
    </row>
    <row r="795" spans="2:3">
      <c r="B795" s="197">
        <v>45126</v>
      </c>
      <c r="C795" s="198">
        <v>29011.55</v>
      </c>
    </row>
    <row r="796" spans="2:3">
      <c r="B796" s="197">
        <v>45125</v>
      </c>
      <c r="C796" s="198">
        <v>28888.85</v>
      </c>
    </row>
    <row r="797" spans="2:3">
      <c r="B797" s="197">
        <v>45124</v>
      </c>
      <c r="C797" s="198">
        <v>28833.54</v>
      </c>
    </row>
    <row r="798" spans="2:3">
      <c r="B798" s="197">
        <v>45121</v>
      </c>
      <c r="C798" s="198">
        <v>28618.6</v>
      </c>
    </row>
    <row r="799" spans="2:3">
      <c r="B799" s="197">
        <v>45120</v>
      </c>
      <c r="C799" s="198">
        <v>28393.32</v>
      </c>
    </row>
    <row r="800" spans="2:3">
      <c r="B800" s="197">
        <v>45119</v>
      </c>
      <c r="C800" s="198">
        <v>28348.880000000001</v>
      </c>
    </row>
    <row r="801" spans="2:3">
      <c r="B801" s="197">
        <v>45118</v>
      </c>
      <c r="C801" s="198">
        <v>28429.42</v>
      </c>
    </row>
    <row r="802" spans="2:3">
      <c r="B802" s="197">
        <v>45117</v>
      </c>
      <c r="C802" s="198">
        <v>28304.66</v>
      </c>
    </row>
    <row r="803" spans="2:3">
      <c r="B803" s="197">
        <v>45114</v>
      </c>
      <c r="C803" s="198">
        <v>28269.43</v>
      </c>
    </row>
    <row r="804" spans="2:3">
      <c r="B804" s="197">
        <v>45113</v>
      </c>
      <c r="C804" s="198">
        <v>28510.39</v>
      </c>
    </row>
    <row r="805" spans="2:3">
      <c r="B805" s="197">
        <v>45112</v>
      </c>
      <c r="C805" s="198">
        <v>28365.96</v>
      </c>
    </row>
    <row r="806" spans="2:3">
      <c r="B806" s="197">
        <v>45111</v>
      </c>
      <c r="C806" s="198">
        <v>28352.01</v>
      </c>
    </row>
    <row r="807" spans="2:3">
      <c r="B807" s="197">
        <v>45110</v>
      </c>
      <c r="C807" s="198">
        <v>28254.9</v>
      </c>
    </row>
    <row r="808" spans="2:3">
      <c r="B808" s="197">
        <v>45107</v>
      </c>
      <c r="C808" s="198">
        <v>28059.65</v>
      </c>
    </row>
    <row r="809" spans="2:3">
      <c r="B809" s="197">
        <v>45105</v>
      </c>
      <c r="C809" s="198">
        <v>27739.64</v>
      </c>
    </row>
    <row r="810" spans="2:3">
      <c r="B810" s="197">
        <v>45104</v>
      </c>
      <c r="C810" s="198">
        <v>27513.45</v>
      </c>
    </row>
    <row r="811" spans="2:3">
      <c r="B811" s="197">
        <v>45103</v>
      </c>
      <c r="C811" s="198">
        <v>27328.91</v>
      </c>
    </row>
    <row r="812" spans="2:3">
      <c r="B812" s="197">
        <v>45100</v>
      </c>
      <c r="C812" s="198">
        <v>27291.39</v>
      </c>
    </row>
    <row r="813" spans="2:3">
      <c r="B813" s="197">
        <v>45099</v>
      </c>
      <c r="C813" s="198">
        <v>27445.97</v>
      </c>
    </row>
    <row r="814" spans="2:3">
      <c r="B814" s="197">
        <v>45098</v>
      </c>
      <c r="C814" s="198">
        <v>27571.14</v>
      </c>
    </row>
    <row r="815" spans="2:3">
      <c r="B815" s="197">
        <v>45097</v>
      </c>
      <c r="C815" s="198">
        <v>27512.41</v>
      </c>
    </row>
    <row r="816" spans="2:3">
      <c r="B816" s="197">
        <v>45096</v>
      </c>
      <c r="C816" s="198">
        <v>27422.87</v>
      </c>
    </row>
    <row r="817" spans="2:3">
      <c r="B817" s="197">
        <v>45093</v>
      </c>
      <c r="C817" s="198">
        <v>27519.439999999999</v>
      </c>
    </row>
    <row r="818" spans="2:3">
      <c r="B818" s="197">
        <v>45092</v>
      </c>
      <c r="C818" s="198">
        <v>27317.25</v>
      </c>
    </row>
    <row r="819" spans="2:3">
      <c r="B819" s="197">
        <v>45091</v>
      </c>
      <c r="C819" s="198">
        <v>27408.12</v>
      </c>
    </row>
    <row r="820" spans="2:3">
      <c r="B820" s="197">
        <v>45090</v>
      </c>
      <c r="C820" s="198">
        <v>27350.09</v>
      </c>
    </row>
    <row r="821" spans="2:3">
      <c r="B821" s="197">
        <v>45089</v>
      </c>
      <c r="C821" s="198">
        <v>27182.55</v>
      </c>
    </row>
    <row r="822" spans="2:3">
      <c r="B822" s="197">
        <v>45086</v>
      </c>
      <c r="C822" s="198">
        <v>27126.86</v>
      </c>
    </row>
    <row r="823" spans="2:3">
      <c r="B823" s="197">
        <v>45085</v>
      </c>
      <c r="C823" s="198">
        <v>27227.59</v>
      </c>
    </row>
    <row r="824" spans="2:3">
      <c r="B824" s="197">
        <v>45084</v>
      </c>
      <c r="C824" s="198">
        <v>27361.85</v>
      </c>
    </row>
    <row r="825" spans="2:3">
      <c r="B825" s="197">
        <v>45083</v>
      </c>
      <c r="C825" s="198">
        <v>27175.7</v>
      </c>
    </row>
    <row r="826" spans="2:3">
      <c r="B826" s="197">
        <v>45082</v>
      </c>
      <c r="C826" s="198">
        <v>27168.13</v>
      </c>
    </row>
    <row r="827" spans="2:3">
      <c r="B827" s="197">
        <v>45079</v>
      </c>
      <c r="C827" s="198">
        <v>27080.87</v>
      </c>
    </row>
    <row r="828" spans="2:3">
      <c r="B828" s="197">
        <v>45078</v>
      </c>
      <c r="C828" s="198">
        <v>26989.35</v>
      </c>
    </row>
    <row r="829" spans="2:3">
      <c r="B829" s="197">
        <v>45077</v>
      </c>
      <c r="C829" s="198">
        <v>27057.439999999999</v>
      </c>
    </row>
    <row r="830" spans="2:3">
      <c r="B830" s="197">
        <v>45076</v>
      </c>
      <c r="C830" s="198">
        <v>27188.18</v>
      </c>
    </row>
    <row r="831" spans="2:3">
      <c r="B831" s="197">
        <v>45075</v>
      </c>
      <c r="C831" s="198">
        <v>27136.82</v>
      </c>
    </row>
    <row r="832" spans="2:3">
      <c r="B832" s="197">
        <v>45072</v>
      </c>
      <c r="C832" s="198">
        <v>26991.87</v>
      </c>
    </row>
    <row r="833" spans="2:3">
      <c r="B833" s="197">
        <v>45071</v>
      </c>
      <c r="C833" s="198">
        <v>26731.86</v>
      </c>
    </row>
    <row r="834" spans="2:3">
      <c r="B834" s="197">
        <v>45070</v>
      </c>
      <c r="C834" s="198">
        <v>26679.72</v>
      </c>
    </row>
    <row r="835" spans="2:3">
      <c r="B835" s="197">
        <v>45069</v>
      </c>
      <c r="C835" s="198">
        <v>26771.1</v>
      </c>
    </row>
    <row r="836" spans="2:3">
      <c r="B836" s="197">
        <v>45068</v>
      </c>
      <c r="C836" s="198">
        <v>26722.03</v>
      </c>
    </row>
    <row r="837" spans="2:3">
      <c r="B837" s="197">
        <v>45065</v>
      </c>
      <c r="C837" s="198">
        <v>26560.1</v>
      </c>
    </row>
    <row r="838" spans="2:3">
      <c r="B838" s="197">
        <v>45064</v>
      </c>
      <c r="C838" s="198">
        <v>26451.26</v>
      </c>
    </row>
    <row r="839" spans="2:3">
      <c r="B839" s="197">
        <v>45063</v>
      </c>
      <c r="C839" s="198">
        <v>26526.82</v>
      </c>
    </row>
    <row r="840" spans="2:3">
      <c r="B840" s="197">
        <v>45062</v>
      </c>
      <c r="C840" s="198">
        <v>26679.67</v>
      </c>
    </row>
    <row r="841" spans="2:3">
      <c r="B841" s="197">
        <v>45061</v>
      </c>
      <c r="C841" s="198">
        <v>26789.02</v>
      </c>
    </row>
    <row r="842" spans="2:3">
      <c r="B842" s="197">
        <v>45058</v>
      </c>
      <c r="C842" s="198">
        <v>26666.67</v>
      </c>
    </row>
    <row r="843" spans="2:3">
      <c r="B843" s="197">
        <v>45057</v>
      </c>
      <c r="C843" s="198">
        <v>26640.77</v>
      </c>
    </row>
    <row r="844" spans="2:3">
      <c r="B844" s="197">
        <v>45056</v>
      </c>
      <c r="C844" s="198">
        <v>26667.11</v>
      </c>
    </row>
    <row r="845" spans="2:3">
      <c r="B845" s="197">
        <v>45055</v>
      </c>
      <c r="C845" s="198">
        <v>26595.52</v>
      </c>
    </row>
    <row r="846" spans="2:3">
      <c r="B846" s="197">
        <v>45054</v>
      </c>
      <c r="C846" s="198">
        <v>26593.29</v>
      </c>
    </row>
    <row r="847" spans="2:3">
      <c r="B847" s="197">
        <v>45051</v>
      </c>
      <c r="C847" s="198">
        <v>26308.78</v>
      </c>
    </row>
    <row r="848" spans="2:3">
      <c r="B848" s="197">
        <v>45050</v>
      </c>
      <c r="C848" s="198">
        <v>26580.77</v>
      </c>
    </row>
    <row r="849" spans="2:3">
      <c r="B849" s="197">
        <v>45049</v>
      </c>
      <c r="C849" s="198">
        <v>26339.14</v>
      </c>
    </row>
    <row r="850" spans="2:3">
      <c r="B850" s="197">
        <v>45048</v>
      </c>
      <c r="C850" s="198">
        <v>26423.3</v>
      </c>
    </row>
    <row r="851" spans="2:3">
      <c r="B851" s="197">
        <v>45044</v>
      </c>
      <c r="C851" s="198">
        <v>26302.92</v>
      </c>
    </row>
    <row r="852" spans="2:3">
      <c r="B852" s="197">
        <v>45043</v>
      </c>
      <c r="C852" s="198">
        <v>26078.38</v>
      </c>
    </row>
    <row r="853" spans="2:3">
      <c r="B853" s="197">
        <v>45042</v>
      </c>
      <c r="C853" s="198">
        <v>25930.7</v>
      </c>
    </row>
    <row r="854" spans="2:3">
      <c r="B854" s="197">
        <v>45041</v>
      </c>
      <c r="C854" s="198">
        <v>25866.09</v>
      </c>
    </row>
    <row r="855" spans="2:3">
      <c r="B855" s="197">
        <v>45040</v>
      </c>
      <c r="C855" s="198">
        <v>25828.46</v>
      </c>
    </row>
    <row r="856" spans="2:3">
      <c r="B856" s="197">
        <v>45037</v>
      </c>
      <c r="C856" s="198">
        <v>25654.78</v>
      </c>
    </row>
    <row r="857" spans="2:3">
      <c r="B857" s="197">
        <v>45036</v>
      </c>
      <c r="C857" s="198">
        <v>25654.16</v>
      </c>
    </row>
    <row r="858" spans="2:3">
      <c r="B858" s="197">
        <v>45035</v>
      </c>
      <c r="C858" s="198">
        <v>25645.82</v>
      </c>
    </row>
    <row r="859" spans="2:3">
      <c r="B859" s="197">
        <v>45034</v>
      </c>
      <c r="C859" s="198">
        <v>25706.09</v>
      </c>
    </row>
    <row r="860" spans="2:3">
      <c r="B860" s="197">
        <v>45033</v>
      </c>
      <c r="C860" s="198">
        <v>25774.07</v>
      </c>
    </row>
    <row r="861" spans="2:3">
      <c r="B861" s="197">
        <v>45029</v>
      </c>
      <c r="C861" s="198">
        <v>25950.39</v>
      </c>
    </row>
    <row r="862" spans="2:3">
      <c r="B862" s="197">
        <v>45028</v>
      </c>
      <c r="C862" s="198">
        <v>25924.89</v>
      </c>
    </row>
    <row r="863" spans="2:3">
      <c r="B863" s="197">
        <v>45027</v>
      </c>
      <c r="C863" s="198">
        <v>25793.77</v>
      </c>
    </row>
    <row r="864" spans="2:3">
      <c r="B864" s="197">
        <v>45026</v>
      </c>
      <c r="C864" s="198">
        <v>25650.73</v>
      </c>
    </row>
    <row r="865" spans="2:3">
      <c r="B865" s="197">
        <v>45022</v>
      </c>
      <c r="C865" s="198">
        <v>25614.55</v>
      </c>
    </row>
    <row r="866" spans="2:3">
      <c r="B866" s="197">
        <v>45021</v>
      </c>
      <c r="C866" s="198">
        <v>25553.279999999999</v>
      </c>
    </row>
    <row r="867" spans="2:3">
      <c r="B867" s="197">
        <v>45019</v>
      </c>
      <c r="C867" s="198">
        <v>25321.85</v>
      </c>
    </row>
    <row r="868" spans="2:3">
      <c r="B868" s="197">
        <v>45016</v>
      </c>
      <c r="C868" s="198">
        <v>25266.06</v>
      </c>
    </row>
    <row r="869" spans="2:3">
      <c r="B869" s="197">
        <v>45014</v>
      </c>
      <c r="C869" s="198">
        <v>24859.93</v>
      </c>
    </row>
    <row r="870" spans="2:3">
      <c r="B870" s="197">
        <v>45013</v>
      </c>
      <c r="C870" s="198">
        <v>24672.17</v>
      </c>
    </row>
    <row r="871" spans="2:3">
      <c r="B871" s="197">
        <v>45012</v>
      </c>
      <c r="C871" s="198">
        <v>24721.71</v>
      </c>
    </row>
    <row r="872" spans="2:3">
      <c r="B872" s="197">
        <v>45009</v>
      </c>
      <c r="C872" s="198">
        <v>24662.53</v>
      </c>
    </row>
    <row r="873" spans="2:3">
      <c r="B873" s="197">
        <v>45008</v>
      </c>
      <c r="C873" s="198">
        <v>24854.39</v>
      </c>
    </row>
    <row r="874" spans="2:3">
      <c r="B874" s="197">
        <v>45007</v>
      </c>
      <c r="C874" s="198">
        <v>24963.55</v>
      </c>
    </row>
    <row r="875" spans="2:3">
      <c r="B875" s="197">
        <v>45006</v>
      </c>
      <c r="C875" s="198">
        <v>24898.97</v>
      </c>
    </row>
    <row r="876" spans="2:3">
      <c r="B876" s="197">
        <v>45005</v>
      </c>
      <c r="C876" s="198">
        <v>24725.599999999999</v>
      </c>
    </row>
    <row r="877" spans="2:3">
      <c r="B877" s="197">
        <v>45002</v>
      </c>
      <c r="C877" s="198">
        <v>24888.1</v>
      </c>
    </row>
    <row r="878" spans="2:3">
      <c r="B878" s="197">
        <v>45001</v>
      </c>
      <c r="C878" s="198">
        <v>24721.52</v>
      </c>
    </row>
    <row r="879" spans="2:3">
      <c r="B879" s="197">
        <v>45000</v>
      </c>
      <c r="C879" s="198">
        <v>24701.599999999999</v>
      </c>
    </row>
    <row r="880" spans="2:3">
      <c r="B880" s="197">
        <v>44999</v>
      </c>
      <c r="C880" s="198">
        <v>24805.11</v>
      </c>
    </row>
    <row r="881" spans="2:3">
      <c r="B881" s="197">
        <v>44998</v>
      </c>
      <c r="C881" s="198">
        <v>24966.68</v>
      </c>
    </row>
    <row r="882" spans="2:3">
      <c r="B882" s="197">
        <v>44995</v>
      </c>
      <c r="C882" s="198">
        <v>25343.09</v>
      </c>
    </row>
    <row r="883" spans="2:3">
      <c r="B883" s="197">
        <v>44994</v>
      </c>
      <c r="C883" s="198">
        <v>25600.240000000002</v>
      </c>
    </row>
    <row r="884" spans="2:3">
      <c r="B884" s="197">
        <v>44993</v>
      </c>
      <c r="C884" s="198">
        <v>25840.12</v>
      </c>
    </row>
    <row r="885" spans="2:3">
      <c r="B885" s="197">
        <v>44991</v>
      </c>
      <c r="C885" s="198">
        <v>25777.599999999999</v>
      </c>
    </row>
    <row r="886" spans="2:3">
      <c r="B886" s="197">
        <v>44988</v>
      </c>
      <c r="C886" s="198">
        <v>25607.14</v>
      </c>
    </row>
    <row r="887" spans="2:3">
      <c r="B887" s="197">
        <v>44987</v>
      </c>
      <c r="C887" s="198">
        <v>25210.65</v>
      </c>
    </row>
    <row r="888" spans="2:3">
      <c r="B888" s="197">
        <v>44986</v>
      </c>
      <c r="C888" s="198">
        <v>25398.400000000001</v>
      </c>
    </row>
    <row r="889" spans="2:3">
      <c r="B889" s="197">
        <v>44985</v>
      </c>
      <c r="C889" s="198">
        <v>25184.47</v>
      </c>
    </row>
    <row r="890" spans="2:3">
      <c r="B890" s="197">
        <v>44984</v>
      </c>
      <c r="C890" s="198">
        <v>25313.7</v>
      </c>
    </row>
    <row r="891" spans="2:3">
      <c r="B891" s="197">
        <v>44981</v>
      </c>
      <c r="C891" s="198">
        <v>25420.07</v>
      </c>
    </row>
    <row r="892" spans="2:3">
      <c r="B892" s="197">
        <v>44980</v>
      </c>
      <c r="C892" s="198">
        <v>25485.97</v>
      </c>
    </row>
    <row r="893" spans="2:3">
      <c r="B893" s="197">
        <v>44979</v>
      </c>
      <c r="C893" s="198">
        <v>25548.67</v>
      </c>
    </row>
    <row r="894" spans="2:3">
      <c r="B894" s="197">
        <v>44978</v>
      </c>
      <c r="C894" s="198">
        <v>25945.08</v>
      </c>
    </row>
    <row r="895" spans="2:3">
      <c r="B895" s="197">
        <v>44977</v>
      </c>
      <c r="C895" s="198">
        <v>25971.19</v>
      </c>
    </row>
    <row r="896" spans="2:3">
      <c r="B896" s="197">
        <v>44974</v>
      </c>
      <c r="C896" s="198">
        <v>26116.12</v>
      </c>
    </row>
    <row r="897" spans="2:3">
      <c r="B897" s="197">
        <v>44973</v>
      </c>
      <c r="C897" s="198">
        <v>26249.52</v>
      </c>
    </row>
    <row r="898" spans="2:3">
      <c r="B898" s="197">
        <v>44972</v>
      </c>
      <c r="C898" s="198">
        <v>26220.43</v>
      </c>
    </row>
    <row r="899" spans="2:3">
      <c r="B899" s="197">
        <v>44971</v>
      </c>
      <c r="C899" s="198">
        <v>26077.93</v>
      </c>
    </row>
    <row r="900" spans="2:3">
      <c r="B900" s="197">
        <v>44970</v>
      </c>
      <c r="C900" s="198">
        <v>25846.7</v>
      </c>
    </row>
    <row r="901" spans="2:3">
      <c r="B901" s="197">
        <v>44967</v>
      </c>
      <c r="C901" s="198">
        <v>25971.23</v>
      </c>
    </row>
    <row r="902" spans="2:3">
      <c r="B902" s="197">
        <v>44966</v>
      </c>
      <c r="C902" s="198">
        <v>26024.94</v>
      </c>
    </row>
    <row r="903" spans="2:3">
      <c r="B903" s="197">
        <v>44965</v>
      </c>
      <c r="C903" s="198">
        <v>25993.34</v>
      </c>
    </row>
    <row r="904" spans="2:3">
      <c r="B904" s="197">
        <v>44964</v>
      </c>
      <c r="C904" s="198">
        <v>25772.19</v>
      </c>
    </row>
    <row r="905" spans="2:3">
      <c r="B905" s="197">
        <v>44963</v>
      </c>
      <c r="C905" s="198">
        <v>25834.87</v>
      </c>
    </row>
    <row r="906" spans="2:3">
      <c r="B906" s="197">
        <v>44960</v>
      </c>
      <c r="C906" s="198">
        <v>25965</v>
      </c>
    </row>
    <row r="907" spans="2:3">
      <c r="B907" s="197">
        <v>44959</v>
      </c>
      <c r="C907" s="198">
        <v>25610.65</v>
      </c>
    </row>
    <row r="908" spans="2:3">
      <c r="B908" s="197">
        <v>44958</v>
      </c>
      <c r="C908" s="198">
        <v>25619.24</v>
      </c>
    </row>
    <row r="909" spans="2:3">
      <c r="B909" s="197">
        <v>44957</v>
      </c>
      <c r="C909" s="198">
        <v>25685.94</v>
      </c>
    </row>
    <row r="910" spans="2:3">
      <c r="B910" s="197">
        <v>44956</v>
      </c>
      <c r="C910" s="198">
        <v>25666.69</v>
      </c>
    </row>
    <row r="911" spans="2:3">
      <c r="B911" s="197">
        <v>44953</v>
      </c>
      <c r="C911" s="198">
        <v>25601.88</v>
      </c>
    </row>
    <row r="912" spans="2:3">
      <c r="B912" s="197">
        <v>44951</v>
      </c>
      <c r="C912" s="198">
        <v>26020.13</v>
      </c>
    </row>
    <row r="913" spans="2:3">
      <c r="B913" s="197">
        <v>44950</v>
      </c>
      <c r="C913" s="198">
        <v>26349.279999999999</v>
      </c>
    </row>
    <row r="914" spans="2:3">
      <c r="B914" s="197">
        <v>44949</v>
      </c>
      <c r="C914" s="198">
        <v>26349.14</v>
      </c>
    </row>
    <row r="915" spans="2:3">
      <c r="B915" s="197">
        <v>44946</v>
      </c>
      <c r="C915" s="198">
        <v>26216.94</v>
      </c>
    </row>
    <row r="916" spans="2:3">
      <c r="B916" s="197">
        <v>44945</v>
      </c>
      <c r="C916" s="198">
        <v>26333.57</v>
      </c>
    </row>
    <row r="917" spans="2:3">
      <c r="B917" s="197">
        <v>44944</v>
      </c>
      <c r="C917" s="198">
        <v>26413.71</v>
      </c>
    </row>
    <row r="918" spans="2:3">
      <c r="B918" s="197">
        <v>44943</v>
      </c>
      <c r="C918" s="198">
        <v>26250.81</v>
      </c>
    </row>
    <row r="919" spans="2:3">
      <c r="B919" s="197">
        <v>44942</v>
      </c>
      <c r="C919" s="198">
        <v>26020.39</v>
      </c>
    </row>
    <row r="920" spans="2:3">
      <c r="B920" s="197">
        <v>44939</v>
      </c>
      <c r="C920" s="198">
        <v>26110.2</v>
      </c>
    </row>
    <row r="921" spans="2:3">
      <c r="B921" s="197">
        <v>44938</v>
      </c>
      <c r="C921" s="198">
        <v>25967.07</v>
      </c>
    </row>
    <row r="922" spans="2:3">
      <c r="B922" s="197">
        <v>44937</v>
      </c>
      <c r="C922" s="198">
        <v>26021.599999999999</v>
      </c>
    </row>
    <row r="923" spans="2:3">
      <c r="B923" s="197">
        <v>44936</v>
      </c>
      <c r="C923" s="198">
        <v>26048.47</v>
      </c>
    </row>
    <row r="924" spans="2:3">
      <c r="B924" s="197">
        <v>44935</v>
      </c>
      <c r="C924" s="198">
        <v>26320.41</v>
      </c>
    </row>
    <row r="925" spans="2:3">
      <c r="B925" s="197">
        <v>44932</v>
      </c>
      <c r="C925" s="198">
        <v>25968.95</v>
      </c>
    </row>
    <row r="926" spans="2:3">
      <c r="B926" s="197">
        <v>44931</v>
      </c>
      <c r="C926" s="198">
        <v>26161.85</v>
      </c>
    </row>
    <row r="927" spans="2:3">
      <c r="B927" s="197">
        <v>44930</v>
      </c>
      <c r="C927" s="198">
        <v>26235.73</v>
      </c>
    </row>
    <row r="928" spans="2:3">
      <c r="B928" s="197">
        <v>44929</v>
      </c>
      <c r="C928" s="198">
        <v>26511.45</v>
      </c>
    </row>
    <row r="929" spans="2:3">
      <c r="B929" s="197">
        <v>44928</v>
      </c>
      <c r="C929" s="198">
        <v>26460.41</v>
      </c>
    </row>
    <row r="930" spans="2:3">
      <c r="B930" s="197">
        <v>44925</v>
      </c>
      <c r="C930" s="198">
        <v>26326.37</v>
      </c>
    </row>
    <row r="931" spans="2:3">
      <c r="B931" s="197">
        <v>44924</v>
      </c>
      <c r="C931" s="198">
        <v>26451.02</v>
      </c>
    </row>
    <row r="932" spans="2:3">
      <c r="B932" s="197">
        <v>44923</v>
      </c>
      <c r="C932" s="198">
        <v>26351.4</v>
      </c>
    </row>
    <row r="933" spans="2:3">
      <c r="B933" s="197">
        <v>44922</v>
      </c>
      <c r="C933" s="198">
        <v>26365.65</v>
      </c>
    </row>
    <row r="934" spans="2:3">
      <c r="B934" s="197">
        <v>44921</v>
      </c>
      <c r="C934" s="198">
        <v>26194.52</v>
      </c>
    </row>
    <row r="935" spans="2:3">
      <c r="B935" s="197">
        <v>44918</v>
      </c>
      <c r="C935" s="198">
        <v>25892.35</v>
      </c>
    </row>
    <row r="936" spans="2:3">
      <c r="B936" s="197">
        <v>44917</v>
      </c>
      <c r="C936" s="198">
        <v>26358.44</v>
      </c>
    </row>
    <row r="937" spans="2:3">
      <c r="B937" s="197">
        <v>44916</v>
      </c>
      <c r="C937" s="198">
        <v>26462.77</v>
      </c>
    </row>
    <row r="938" spans="2:3">
      <c r="B938" s="197">
        <v>44915</v>
      </c>
      <c r="C938" s="198">
        <v>26733.51</v>
      </c>
    </row>
    <row r="939" spans="2:3">
      <c r="B939" s="197">
        <v>44914</v>
      </c>
      <c r="C939" s="198">
        <v>26784.68</v>
      </c>
    </row>
    <row r="940" spans="2:3">
      <c r="B940" s="197">
        <v>44911</v>
      </c>
      <c r="C940" s="198">
        <v>26564.46</v>
      </c>
    </row>
    <row r="941" spans="2:3">
      <c r="B941" s="197">
        <v>44910</v>
      </c>
      <c r="C941" s="198">
        <v>26776.560000000001</v>
      </c>
    </row>
    <row r="942" spans="2:3">
      <c r="B942" s="197">
        <v>44909</v>
      </c>
      <c r="C942" s="198">
        <v>27133.4</v>
      </c>
    </row>
    <row r="943" spans="2:3">
      <c r="B943" s="197">
        <v>44908</v>
      </c>
      <c r="C943" s="198">
        <v>27057.35</v>
      </c>
    </row>
    <row r="944" spans="2:3">
      <c r="B944" s="197">
        <v>44907</v>
      </c>
      <c r="C944" s="198">
        <v>26896.21</v>
      </c>
    </row>
    <row r="945" spans="2:3">
      <c r="B945" s="197">
        <v>44904</v>
      </c>
      <c r="C945" s="198">
        <v>26895.35</v>
      </c>
    </row>
    <row r="946" spans="2:3">
      <c r="B946" s="197">
        <v>44903</v>
      </c>
      <c r="C946" s="198">
        <v>27059.31</v>
      </c>
    </row>
    <row r="947" spans="2:3">
      <c r="B947" s="197">
        <v>44902</v>
      </c>
      <c r="C947" s="198">
        <v>26988.31</v>
      </c>
    </row>
    <row r="948" spans="2:3">
      <c r="B948" s="197">
        <v>44901</v>
      </c>
      <c r="C948" s="198">
        <v>27107.87</v>
      </c>
    </row>
    <row r="949" spans="2:3">
      <c r="B949" s="197">
        <v>44900</v>
      </c>
      <c r="C949" s="198">
        <v>27192.639999999999</v>
      </c>
    </row>
    <row r="950" spans="2:3">
      <c r="B950" s="197">
        <v>44897</v>
      </c>
      <c r="C950" s="198">
        <v>27185.439999999999</v>
      </c>
    </row>
    <row r="951" spans="2:3">
      <c r="B951" s="197">
        <v>44896</v>
      </c>
      <c r="C951" s="198">
        <v>27354.74</v>
      </c>
    </row>
    <row r="952" spans="2:3">
      <c r="B952" s="197">
        <v>44895</v>
      </c>
      <c r="C952" s="198">
        <v>27276.01</v>
      </c>
    </row>
    <row r="953" spans="2:3">
      <c r="B953" s="197">
        <v>44894</v>
      </c>
      <c r="C953" s="198">
        <v>27071.98</v>
      </c>
    </row>
    <row r="954" spans="2:3">
      <c r="B954" s="197">
        <v>44893</v>
      </c>
      <c r="C954" s="198">
        <v>26991.599999999999</v>
      </c>
    </row>
    <row r="955" spans="2:3">
      <c r="B955" s="197">
        <v>44890</v>
      </c>
      <c r="C955" s="198">
        <v>26918.89</v>
      </c>
    </row>
    <row r="956" spans="2:3">
      <c r="B956" s="197">
        <v>44889</v>
      </c>
      <c r="C956" s="198">
        <v>26877.24</v>
      </c>
    </row>
    <row r="957" spans="2:3">
      <c r="B957" s="197">
        <v>44888</v>
      </c>
      <c r="C957" s="198">
        <v>26561.89</v>
      </c>
    </row>
    <row r="958" spans="2:3">
      <c r="B958" s="197">
        <v>44887</v>
      </c>
      <c r="C958" s="198">
        <v>26528.400000000001</v>
      </c>
    </row>
    <row r="959" spans="2:3">
      <c r="B959" s="197">
        <v>44886</v>
      </c>
      <c r="C959" s="198">
        <v>26405.9</v>
      </c>
    </row>
    <row r="960" spans="2:3">
      <c r="B960" s="197">
        <v>44883</v>
      </c>
      <c r="C960" s="198">
        <v>26620.61</v>
      </c>
    </row>
    <row r="961" spans="2:3">
      <c r="B961" s="197">
        <v>44882</v>
      </c>
      <c r="C961" s="198">
        <v>26673.32</v>
      </c>
    </row>
    <row r="962" spans="2:3">
      <c r="B962" s="197">
        <v>44881</v>
      </c>
      <c r="C962" s="198">
        <v>26768.95</v>
      </c>
    </row>
    <row r="963" spans="2:3">
      <c r="B963" s="197">
        <v>44880</v>
      </c>
      <c r="C963" s="198">
        <v>26759.85</v>
      </c>
    </row>
    <row r="964" spans="2:3">
      <c r="B964" s="197">
        <v>44879</v>
      </c>
      <c r="C964" s="198">
        <v>26651.93</v>
      </c>
    </row>
    <row r="965" spans="2:3">
      <c r="B965" s="197">
        <v>44876</v>
      </c>
      <c r="C965" s="198">
        <v>26681.759999999998</v>
      </c>
    </row>
    <row r="966" spans="2:3">
      <c r="B966" s="197">
        <v>44875</v>
      </c>
      <c r="C966" s="198">
        <v>26214.31</v>
      </c>
    </row>
    <row r="967" spans="2:3">
      <c r="B967" s="197">
        <v>44874</v>
      </c>
      <c r="C967" s="198">
        <v>26401.58</v>
      </c>
    </row>
    <row r="968" spans="2:3">
      <c r="B968" s="197">
        <v>44872</v>
      </c>
      <c r="C968" s="198">
        <v>26464.44</v>
      </c>
    </row>
    <row r="969" spans="2:3">
      <c r="B969" s="197">
        <v>44869</v>
      </c>
      <c r="C969" s="198">
        <v>26339.9</v>
      </c>
    </row>
    <row r="970" spans="2:3">
      <c r="B970" s="197">
        <v>44868</v>
      </c>
      <c r="C970" s="198">
        <v>26246.23</v>
      </c>
    </row>
    <row r="971" spans="2:3">
      <c r="B971" s="197">
        <v>44867</v>
      </c>
      <c r="C971" s="198">
        <v>26290.01</v>
      </c>
    </row>
    <row r="972" spans="2:3">
      <c r="B972" s="197">
        <v>44866</v>
      </c>
      <c r="C972" s="198">
        <v>26380.97</v>
      </c>
    </row>
    <row r="973" spans="2:3">
      <c r="B973" s="197">
        <v>44865</v>
      </c>
      <c r="C973" s="198">
        <v>26182.36</v>
      </c>
    </row>
    <row r="974" spans="2:3">
      <c r="B974" s="197">
        <v>44862</v>
      </c>
      <c r="C974" s="198">
        <v>25852.720000000001</v>
      </c>
    </row>
    <row r="975" spans="2:3">
      <c r="B975" s="197">
        <v>44861</v>
      </c>
      <c r="C975" s="198">
        <v>25780.23</v>
      </c>
    </row>
    <row r="976" spans="2:3">
      <c r="B976" s="197">
        <v>44859</v>
      </c>
      <c r="C976" s="198">
        <v>25643.34</v>
      </c>
    </row>
    <row r="977" spans="2:3">
      <c r="B977" s="197">
        <v>44858</v>
      </c>
      <c r="C977" s="198">
        <v>25751.45</v>
      </c>
    </row>
    <row r="978" spans="2:3">
      <c r="B978" s="197">
        <v>44855</v>
      </c>
      <c r="C978" s="198">
        <v>25527.09</v>
      </c>
    </row>
    <row r="979" spans="2:3">
      <c r="B979" s="197">
        <v>44854</v>
      </c>
      <c r="C979" s="198">
        <v>25509.14</v>
      </c>
    </row>
    <row r="980" spans="2:3">
      <c r="B980" s="197">
        <v>44853</v>
      </c>
      <c r="C980" s="198">
        <v>25434.1</v>
      </c>
    </row>
    <row r="981" spans="2:3">
      <c r="B981" s="197">
        <v>44852</v>
      </c>
      <c r="C981" s="198">
        <v>25393.89</v>
      </c>
    </row>
    <row r="982" spans="2:3">
      <c r="B982" s="197">
        <v>44851</v>
      </c>
      <c r="C982" s="198">
        <v>25139.55</v>
      </c>
    </row>
    <row r="983" spans="2:3">
      <c r="B983" s="197">
        <v>44848</v>
      </c>
      <c r="C983" s="198">
        <v>24953.75</v>
      </c>
    </row>
    <row r="984" spans="2:3">
      <c r="B984" s="197">
        <v>44847</v>
      </c>
      <c r="C984" s="198">
        <v>24704.95</v>
      </c>
    </row>
    <row r="985" spans="2:3">
      <c r="B985" s="197">
        <v>44846</v>
      </c>
      <c r="C985" s="198">
        <v>24863.58</v>
      </c>
    </row>
    <row r="986" spans="2:3">
      <c r="B986" s="197">
        <v>44845</v>
      </c>
      <c r="C986" s="198">
        <v>24660.2</v>
      </c>
    </row>
    <row r="987" spans="2:3">
      <c r="B987" s="197">
        <v>44844</v>
      </c>
      <c r="C987" s="198">
        <v>25034.02</v>
      </c>
    </row>
    <row r="988" spans="2:3">
      <c r="B988" s="197">
        <v>44841</v>
      </c>
      <c r="C988" s="198">
        <v>25140.99</v>
      </c>
    </row>
    <row r="989" spans="2:3">
      <c r="B989" s="197">
        <v>44840</v>
      </c>
      <c r="C989" s="198">
        <v>25165.85</v>
      </c>
    </row>
    <row r="990" spans="2:3">
      <c r="B990" s="197">
        <v>44838</v>
      </c>
      <c r="C990" s="198">
        <v>25082.39</v>
      </c>
    </row>
    <row r="991" spans="2:3">
      <c r="B991" s="197">
        <v>44837</v>
      </c>
      <c r="C991" s="198">
        <v>24520.52</v>
      </c>
    </row>
    <row r="992" spans="2:3">
      <c r="B992" s="197">
        <v>44834</v>
      </c>
      <c r="C992" s="198">
        <v>24821.08</v>
      </c>
    </row>
    <row r="993" spans="2:3">
      <c r="B993" s="197">
        <v>44833</v>
      </c>
      <c r="C993" s="198">
        <v>24419.98</v>
      </c>
    </row>
    <row r="994" spans="2:3">
      <c r="B994" s="197">
        <v>44832</v>
      </c>
      <c r="C994" s="198">
        <v>24478.82</v>
      </c>
    </row>
    <row r="995" spans="2:3">
      <c r="B995" s="197">
        <v>44831</v>
      </c>
      <c r="C995" s="198">
        <v>24694.83</v>
      </c>
    </row>
    <row r="996" spans="2:3">
      <c r="B996" s="197">
        <v>44830</v>
      </c>
      <c r="C996" s="198">
        <v>24707.77</v>
      </c>
    </row>
    <row r="997" spans="2:3">
      <c r="B997" s="197">
        <v>44827</v>
      </c>
      <c r="C997" s="198">
        <v>25159.42</v>
      </c>
    </row>
    <row r="998" spans="2:3">
      <c r="B998" s="197">
        <v>44826</v>
      </c>
      <c r="C998" s="198">
        <v>25598.6</v>
      </c>
    </row>
    <row r="999" spans="2:3">
      <c r="B999" s="197">
        <v>44825</v>
      </c>
      <c r="C999" s="198">
        <v>25727.13</v>
      </c>
    </row>
    <row r="1000" spans="2:3">
      <c r="B1000" s="197">
        <v>44824</v>
      </c>
      <c r="C1000" s="198">
        <v>25869.27</v>
      </c>
    </row>
    <row r="1001" spans="2:3">
      <c r="B1001" s="197">
        <v>44823</v>
      </c>
      <c r="C1001" s="198">
        <v>25587.63</v>
      </c>
    </row>
    <row r="1002" spans="2:3">
      <c r="B1002" s="197">
        <v>44820</v>
      </c>
      <c r="C1002" s="198">
        <v>25454.93</v>
      </c>
    </row>
    <row r="1003" spans="2:3">
      <c r="B1003" s="197">
        <v>44819</v>
      </c>
      <c r="C1003" s="198">
        <v>25958.06</v>
      </c>
    </row>
    <row r="1004" spans="2:3">
      <c r="B1004" s="197">
        <v>44818</v>
      </c>
      <c r="C1004" s="198">
        <v>26141.52</v>
      </c>
    </row>
    <row r="1005" spans="2:3">
      <c r="B1005" s="197">
        <v>44817</v>
      </c>
      <c r="C1005" s="198">
        <v>26237.81</v>
      </c>
    </row>
    <row r="1006" spans="2:3">
      <c r="B1006" s="197">
        <v>44816</v>
      </c>
      <c r="C1006" s="198">
        <v>26043.69</v>
      </c>
    </row>
    <row r="1007" spans="2:3">
      <c r="B1007" s="197">
        <v>44813</v>
      </c>
      <c r="C1007" s="198">
        <v>25894.12</v>
      </c>
    </row>
    <row r="1008" spans="2:3">
      <c r="B1008" s="197">
        <v>44812</v>
      </c>
      <c r="C1008" s="198">
        <v>25843.86</v>
      </c>
    </row>
    <row r="1009" spans="2:3">
      <c r="B1009" s="197">
        <v>44811</v>
      </c>
      <c r="C1009" s="198">
        <v>25590.73</v>
      </c>
    </row>
    <row r="1010" spans="2:3">
      <c r="B1010" s="197">
        <v>44810</v>
      </c>
      <c r="C1010" s="198">
        <v>25636.01</v>
      </c>
    </row>
    <row r="1011" spans="2:3">
      <c r="B1011" s="197">
        <v>44809</v>
      </c>
      <c r="C1011" s="198">
        <v>25650.83</v>
      </c>
    </row>
    <row r="1012" spans="2:3">
      <c r="B1012" s="197">
        <v>44806</v>
      </c>
      <c r="C1012" s="198">
        <v>25467.41</v>
      </c>
    </row>
    <row r="1013" spans="2:3">
      <c r="B1013" s="197">
        <v>44805</v>
      </c>
      <c r="C1013" s="198">
        <v>25472.240000000002</v>
      </c>
    </row>
    <row r="1014" spans="2:3">
      <c r="B1014" s="197">
        <v>44803</v>
      </c>
      <c r="C1014" s="198">
        <v>25786.59</v>
      </c>
    </row>
    <row r="1015" spans="2:3">
      <c r="B1015" s="197">
        <v>44802</v>
      </c>
      <c r="C1015" s="198">
        <v>25138.400000000001</v>
      </c>
    </row>
    <row r="1016" spans="2:3">
      <c r="B1016" s="197">
        <v>44799</v>
      </c>
      <c r="C1016" s="198">
        <v>25495.64</v>
      </c>
    </row>
    <row r="1017" spans="2:3">
      <c r="B1017" s="197">
        <v>44798</v>
      </c>
      <c r="C1017" s="198">
        <v>25442.67</v>
      </c>
    </row>
    <row r="1018" spans="2:3">
      <c r="B1018" s="197">
        <v>44797</v>
      </c>
      <c r="C1018" s="198">
        <v>25562.51</v>
      </c>
    </row>
    <row r="1019" spans="2:3">
      <c r="B1019" s="197">
        <v>44796</v>
      </c>
      <c r="C1019" s="198">
        <v>25522.62</v>
      </c>
    </row>
    <row r="1020" spans="2:3">
      <c r="B1020" s="197">
        <v>44795</v>
      </c>
      <c r="C1020" s="198">
        <v>25396.57</v>
      </c>
    </row>
    <row r="1021" spans="2:3">
      <c r="B1021" s="197">
        <v>44792</v>
      </c>
      <c r="C1021" s="198">
        <v>25785.4</v>
      </c>
    </row>
    <row r="1022" spans="2:3">
      <c r="B1022" s="197">
        <v>44791</v>
      </c>
      <c r="C1022" s="198">
        <v>26067.35</v>
      </c>
    </row>
    <row r="1023" spans="2:3">
      <c r="B1023" s="197">
        <v>44790</v>
      </c>
      <c r="C1023" s="198">
        <v>26035.87</v>
      </c>
    </row>
    <row r="1024" spans="2:3">
      <c r="B1024" s="197">
        <v>44789</v>
      </c>
      <c r="C1024" s="198">
        <v>25863.24</v>
      </c>
    </row>
    <row r="1025" spans="2:3">
      <c r="B1025" s="197">
        <v>44785</v>
      </c>
      <c r="C1025" s="198">
        <v>25678.83</v>
      </c>
    </row>
    <row r="1026" spans="2:3">
      <c r="B1026" s="197">
        <v>44784</v>
      </c>
      <c r="C1026" s="198">
        <v>25621.06</v>
      </c>
    </row>
    <row r="1027" spans="2:3">
      <c r="B1027" s="197">
        <v>44783</v>
      </c>
      <c r="C1027" s="198">
        <v>25431.919999999998</v>
      </c>
    </row>
    <row r="1028" spans="2:3">
      <c r="B1028" s="197">
        <v>44781</v>
      </c>
      <c r="C1028" s="198">
        <v>25413.25</v>
      </c>
    </row>
    <row r="1029" spans="2:3">
      <c r="B1029" s="197">
        <v>44778</v>
      </c>
      <c r="C1029" s="198">
        <v>25215.93</v>
      </c>
    </row>
    <row r="1030" spans="2:3">
      <c r="B1030" s="197">
        <v>44777</v>
      </c>
      <c r="C1030" s="198">
        <v>25193.41</v>
      </c>
    </row>
    <row r="1031" spans="2:3">
      <c r="B1031" s="197">
        <v>44776</v>
      </c>
      <c r="C1031" s="198">
        <v>25202.38</v>
      </c>
    </row>
    <row r="1032" spans="2:3">
      <c r="B1032" s="197">
        <v>44775</v>
      </c>
      <c r="C1032" s="198">
        <v>25137.82</v>
      </c>
    </row>
    <row r="1033" spans="2:3">
      <c r="B1033" s="197">
        <v>44774</v>
      </c>
      <c r="C1033" s="198">
        <v>25128.57</v>
      </c>
    </row>
    <row r="1034" spans="2:3">
      <c r="B1034" s="197">
        <v>44771</v>
      </c>
      <c r="C1034" s="198">
        <v>24862.7</v>
      </c>
    </row>
    <row r="1035" spans="2:3">
      <c r="B1035" s="197">
        <v>44770</v>
      </c>
      <c r="C1035" s="198">
        <v>24531.38</v>
      </c>
    </row>
    <row r="1036" spans="2:3">
      <c r="B1036" s="197">
        <v>44769</v>
      </c>
      <c r="C1036" s="198">
        <v>24114.41</v>
      </c>
    </row>
    <row r="1037" spans="2:3">
      <c r="B1037" s="197">
        <v>44768</v>
      </c>
      <c r="C1037" s="198">
        <v>23882.26</v>
      </c>
    </row>
    <row r="1038" spans="2:3">
      <c r="B1038" s="197">
        <v>44767</v>
      </c>
      <c r="C1038" s="198">
        <v>24095.46</v>
      </c>
    </row>
    <row r="1039" spans="2:3">
      <c r="B1039" s="197">
        <v>44764</v>
      </c>
      <c r="C1039" s="198">
        <v>24223.56</v>
      </c>
    </row>
    <row r="1040" spans="2:3">
      <c r="B1040" s="197">
        <v>44763</v>
      </c>
      <c r="C1040" s="198">
        <v>24058.17</v>
      </c>
    </row>
    <row r="1041" spans="2:3">
      <c r="B1041" s="197">
        <v>44762</v>
      </c>
      <c r="C1041" s="198">
        <v>23920.880000000001</v>
      </c>
    </row>
    <row r="1042" spans="2:3">
      <c r="B1042" s="197">
        <v>44761</v>
      </c>
      <c r="C1042" s="198">
        <v>23659.85</v>
      </c>
    </row>
    <row r="1043" spans="2:3">
      <c r="B1043" s="197">
        <v>44760</v>
      </c>
      <c r="C1043" s="198">
        <v>23566.52</v>
      </c>
    </row>
    <row r="1044" spans="2:3">
      <c r="B1044" s="197">
        <v>44757</v>
      </c>
      <c r="C1044" s="198">
        <v>23234.52</v>
      </c>
    </row>
    <row r="1045" spans="2:3">
      <c r="B1045" s="197">
        <v>44756</v>
      </c>
      <c r="C1045" s="198">
        <v>23074.52</v>
      </c>
    </row>
    <row r="1046" spans="2:3">
      <c r="B1046" s="197">
        <v>44755</v>
      </c>
      <c r="C1046" s="198">
        <v>23107.47</v>
      </c>
    </row>
    <row r="1047" spans="2:3">
      <c r="B1047" s="197">
        <v>44754</v>
      </c>
      <c r="C1047" s="198">
        <v>23239.9</v>
      </c>
    </row>
    <row r="1048" spans="2:3">
      <c r="B1048" s="197">
        <v>44753</v>
      </c>
      <c r="C1048" s="198">
        <v>23468.14</v>
      </c>
    </row>
    <row r="1049" spans="2:3">
      <c r="B1049" s="197">
        <v>44750</v>
      </c>
      <c r="C1049" s="198">
        <v>23473.61</v>
      </c>
    </row>
    <row r="1050" spans="2:3">
      <c r="B1050" s="197">
        <v>44749</v>
      </c>
      <c r="C1050" s="198">
        <v>23345.61</v>
      </c>
    </row>
    <row r="1051" spans="2:3">
      <c r="B1051" s="197">
        <v>44748</v>
      </c>
      <c r="C1051" s="198">
        <v>23137.7</v>
      </c>
    </row>
    <row r="1052" spans="2:3">
      <c r="B1052" s="197">
        <v>44747</v>
      </c>
      <c r="C1052" s="198">
        <v>22878.720000000001</v>
      </c>
    </row>
    <row r="1053" spans="2:3">
      <c r="B1053" s="197">
        <v>44746</v>
      </c>
      <c r="C1053" s="198">
        <v>22914.2</v>
      </c>
    </row>
    <row r="1054" spans="2:3">
      <c r="B1054" s="197">
        <v>44743</v>
      </c>
      <c r="C1054" s="198">
        <v>22788.18</v>
      </c>
    </row>
    <row r="1055" spans="2:3">
      <c r="B1055" s="197">
        <v>44742</v>
      </c>
      <c r="C1055" s="198">
        <v>22828.93</v>
      </c>
    </row>
    <row r="1056" spans="2:3">
      <c r="B1056" s="197">
        <v>44741</v>
      </c>
      <c r="C1056" s="198">
        <v>22848.35</v>
      </c>
    </row>
    <row r="1057" spans="2:3">
      <c r="B1057" s="197">
        <v>44740</v>
      </c>
      <c r="C1057" s="198">
        <v>22922.240000000002</v>
      </c>
    </row>
    <row r="1058" spans="2:3">
      <c r="B1058" s="197">
        <v>44739</v>
      </c>
      <c r="C1058" s="198">
        <v>22896.02</v>
      </c>
    </row>
    <row r="1059" spans="2:3">
      <c r="B1059" s="197">
        <v>44736</v>
      </c>
      <c r="C1059" s="198">
        <v>22703.95</v>
      </c>
    </row>
    <row r="1060" spans="2:3">
      <c r="B1060" s="197">
        <v>44735</v>
      </c>
      <c r="C1060" s="198">
        <v>22497.71</v>
      </c>
    </row>
    <row r="1061" spans="2:3">
      <c r="B1061" s="197">
        <v>44734</v>
      </c>
      <c r="C1061" s="198">
        <v>22290.46</v>
      </c>
    </row>
    <row r="1062" spans="2:3">
      <c r="B1062" s="197">
        <v>44733</v>
      </c>
      <c r="C1062" s="198">
        <v>22616.52</v>
      </c>
    </row>
    <row r="1063" spans="2:3">
      <c r="B1063" s="197">
        <v>44732</v>
      </c>
      <c r="C1063" s="198">
        <v>22199.11</v>
      </c>
    </row>
    <row r="1064" spans="2:3">
      <c r="B1064" s="197">
        <v>44729</v>
      </c>
      <c r="C1064" s="198">
        <v>22114.97</v>
      </c>
    </row>
    <row r="1065" spans="2:3">
      <c r="B1065" s="197">
        <v>44728</v>
      </c>
      <c r="C1065" s="198">
        <v>22211.98</v>
      </c>
    </row>
    <row r="1066" spans="2:3">
      <c r="B1066" s="197">
        <v>44727</v>
      </c>
      <c r="C1066" s="198">
        <v>22691.46</v>
      </c>
    </row>
    <row r="1067" spans="2:3">
      <c r="B1067" s="197">
        <v>44726</v>
      </c>
      <c r="C1067" s="198">
        <v>22729.97</v>
      </c>
    </row>
    <row r="1068" spans="2:3">
      <c r="B1068" s="197">
        <v>44725</v>
      </c>
      <c r="C1068" s="198">
        <v>22791.119999999999</v>
      </c>
    </row>
    <row r="1069" spans="2:3">
      <c r="B1069" s="197">
        <v>44722</v>
      </c>
      <c r="C1069" s="198">
        <v>23408.59</v>
      </c>
    </row>
    <row r="1070" spans="2:3">
      <c r="B1070" s="197">
        <v>44721</v>
      </c>
      <c r="C1070" s="198">
        <v>23807.84</v>
      </c>
    </row>
    <row r="1071" spans="2:3">
      <c r="B1071" s="197">
        <v>44720</v>
      </c>
      <c r="C1071" s="198">
        <v>23628.32</v>
      </c>
    </row>
    <row r="1072" spans="2:3">
      <c r="B1072" s="197">
        <v>44719</v>
      </c>
      <c r="C1072" s="198">
        <v>23715.1</v>
      </c>
    </row>
    <row r="1073" spans="2:3">
      <c r="B1073" s="197">
        <v>44718</v>
      </c>
      <c r="C1073" s="198">
        <v>23936.44</v>
      </c>
    </row>
    <row r="1074" spans="2:3">
      <c r="B1074" s="197">
        <v>44715</v>
      </c>
      <c r="C1074" s="198">
        <v>23957.71</v>
      </c>
    </row>
    <row r="1075" spans="2:3">
      <c r="B1075" s="197">
        <v>44714</v>
      </c>
      <c r="C1075" s="198">
        <v>24020.89</v>
      </c>
    </row>
    <row r="1076" spans="2:3">
      <c r="B1076" s="197">
        <v>44713</v>
      </c>
      <c r="C1076" s="198">
        <v>23868.85</v>
      </c>
    </row>
    <row r="1077" spans="2:3">
      <c r="B1077" s="197">
        <v>44712</v>
      </c>
      <c r="C1077" s="198">
        <v>23958.1</v>
      </c>
    </row>
    <row r="1078" spans="2:3">
      <c r="B1078" s="197">
        <v>44711</v>
      </c>
      <c r="C1078" s="198">
        <v>24031.25</v>
      </c>
    </row>
    <row r="1079" spans="2:3">
      <c r="B1079" s="197">
        <v>44708</v>
      </c>
      <c r="C1079" s="198">
        <v>23585.61</v>
      </c>
    </row>
    <row r="1080" spans="2:3">
      <c r="B1080" s="197">
        <v>44707</v>
      </c>
      <c r="C1080" s="198">
        <v>23322.66</v>
      </c>
    </row>
    <row r="1081" spans="2:3">
      <c r="B1081" s="197">
        <v>44706</v>
      </c>
      <c r="C1081" s="198">
        <v>23096.63</v>
      </c>
    </row>
    <row r="1082" spans="2:3">
      <c r="B1082" s="197">
        <v>44705</v>
      </c>
      <c r="C1082" s="198">
        <v>23223.25</v>
      </c>
    </row>
    <row r="1083" spans="2:3">
      <c r="B1083" s="197">
        <v>44704</v>
      </c>
      <c r="C1083" s="198">
        <v>23352.22</v>
      </c>
    </row>
    <row r="1084" spans="2:3">
      <c r="B1084" s="197">
        <v>44701</v>
      </c>
      <c r="C1084" s="198">
        <v>23426.36</v>
      </c>
    </row>
    <row r="1085" spans="2:3">
      <c r="B1085" s="197">
        <v>44700</v>
      </c>
      <c r="C1085" s="198">
        <v>22768.49</v>
      </c>
    </row>
    <row r="1086" spans="2:3">
      <c r="B1086" s="197">
        <v>44699</v>
      </c>
      <c r="C1086" s="198">
        <v>23389.07</v>
      </c>
    </row>
    <row r="1087" spans="2:3">
      <c r="B1087" s="197">
        <v>44698</v>
      </c>
      <c r="C1087" s="198">
        <v>23416.46</v>
      </c>
    </row>
    <row r="1088" spans="2:3">
      <c r="B1088" s="197">
        <v>44697</v>
      </c>
      <c r="C1088" s="198">
        <v>22815.88</v>
      </c>
    </row>
    <row r="1089" spans="2:3">
      <c r="B1089" s="197">
        <v>44694</v>
      </c>
      <c r="C1089" s="198">
        <v>22729.279999999999</v>
      </c>
    </row>
    <row r="1090" spans="2:3">
      <c r="B1090" s="197">
        <v>44693</v>
      </c>
      <c r="C1090" s="198">
        <v>22766.52</v>
      </c>
    </row>
    <row r="1091" spans="2:3">
      <c r="B1091" s="197">
        <v>44692</v>
      </c>
      <c r="C1091" s="198">
        <v>23260.85</v>
      </c>
    </row>
    <row r="1092" spans="2:3">
      <c r="B1092" s="197">
        <v>44691</v>
      </c>
      <c r="C1092" s="198">
        <v>23365.81</v>
      </c>
    </row>
    <row r="1093" spans="2:3">
      <c r="B1093" s="197">
        <v>44690</v>
      </c>
      <c r="C1093" s="198">
        <v>23454.71</v>
      </c>
    </row>
    <row r="1094" spans="2:3">
      <c r="B1094" s="197">
        <v>44687</v>
      </c>
      <c r="C1094" s="198">
        <v>23612.16</v>
      </c>
    </row>
    <row r="1095" spans="2:3">
      <c r="B1095" s="197">
        <v>44686</v>
      </c>
      <c r="C1095" s="198">
        <v>24002.58</v>
      </c>
    </row>
    <row r="1096" spans="2:3">
      <c r="B1096" s="197">
        <v>44685</v>
      </c>
      <c r="C1096" s="198">
        <v>23995.35</v>
      </c>
    </row>
    <row r="1097" spans="2:3">
      <c r="B1097" s="197">
        <v>44683</v>
      </c>
      <c r="C1097" s="198">
        <v>24558.61</v>
      </c>
    </row>
    <row r="1098" spans="2:3">
      <c r="B1098" s="197">
        <v>44680</v>
      </c>
      <c r="C1098" s="198">
        <v>24606.78</v>
      </c>
    </row>
    <row r="1099" spans="2:3">
      <c r="B1099" s="197">
        <v>44679</v>
      </c>
      <c r="C1099" s="198">
        <v>24811.78</v>
      </c>
    </row>
    <row r="1100" spans="2:3">
      <c r="B1100" s="197">
        <v>44678</v>
      </c>
      <c r="C1100" s="198">
        <v>24508.3</v>
      </c>
    </row>
    <row r="1101" spans="2:3">
      <c r="B1101" s="197">
        <v>44677</v>
      </c>
      <c r="C1101" s="198">
        <v>24741.88</v>
      </c>
    </row>
    <row r="1102" spans="2:3">
      <c r="B1102" s="197">
        <v>44676</v>
      </c>
      <c r="C1102" s="198">
        <v>24386.78</v>
      </c>
    </row>
    <row r="1103" spans="2:3">
      <c r="B1103" s="197">
        <v>44673</v>
      </c>
      <c r="C1103" s="198">
        <v>24700.36</v>
      </c>
    </row>
    <row r="1104" spans="2:3">
      <c r="B1104" s="197">
        <v>44672</v>
      </c>
      <c r="C1104" s="198">
        <v>25017.73</v>
      </c>
    </row>
    <row r="1105" spans="2:3">
      <c r="B1105" s="197">
        <v>44671</v>
      </c>
      <c r="C1105" s="198">
        <v>24648.400000000001</v>
      </c>
    </row>
    <row r="1106" spans="2:3">
      <c r="B1106" s="197">
        <v>44670</v>
      </c>
      <c r="C1106" s="198">
        <v>24392.54</v>
      </c>
    </row>
    <row r="1107" spans="2:3">
      <c r="B1107" s="197">
        <v>44669</v>
      </c>
      <c r="C1107" s="198">
        <v>24701.75</v>
      </c>
    </row>
    <row r="1108" spans="2:3">
      <c r="B1108" s="197">
        <v>44664</v>
      </c>
      <c r="C1108" s="198">
        <v>25136.13</v>
      </c>
    </row>
    <row r="1109" spans="2:3">
      <c r="B1109" s="197">
        <v>44663</v>
      </c>
      <c r="C1109" s="198">
        <v>25214.76</v>
      </c>
    </row>
    <row r="1110" spans="2:3">
      <c r="B1110" s="197">
        <v>44662</v>
      </c>
      <c r="C1110" s="198">
        <v>25422.81</v>
      </c>
    </row>
    <row r="1111" spans="2:3">
      <c r="B1111" s="197">
        <v>44659</v>
      </c>
      <c r="C1111" s="198">
        <v>25580.15</v>
      </c>
    </row>
    <row r="1112" spans="2:3">
      <c r="B1112" s="197">
        <v>44658</v>
      </c>
      <c r="C1112" s="198">
        <v>25371.88</v>
      </c>
    </row>
    <row r="1113" spans="2:3">
      <c r="B1113" s="197">
        <v>44657</v>
      </c>
      <c r="C1113" s="198">
        <v>25613.71</v>
      </c>
    </row>
    <row r="1114" spans="2:3">
      <c r="B1114" s="197">
        <v>44656</v>
      </c>
      <c r="C1114" s="198">
        <v>25829.11</v>
      </c>
    </row>
    <row r="1115" spans="2:3">
      <c r="B1115" s="197">
        <v>44655</v>
      </c>
      <c r="C1115" s="198">
        <v>25964.720000000001</v>
      </c>
    </row>
    <row r="1116" spans="2:3">
      <c r="B1116" s="197">
        <v>44652</v>
      </c>
      <c r="C1116" s="198">
        <v>25413.94</v>
      </c>
    </row>
    <row r="1117" spans="2:3">
      <c r="B1117" s="197">
        <v>44651</v>
      </c>
      <c r="C1117" s="198">
        <v>25118.14</v>
      </c>
    </row>
    <row r="1118" spans="2:3">
      <c r="B1118" s="197">
        <v>44650</v>
      </c>
      <c r="C1118" s="198">
        <v>25166.31</v>
      </c>
    </row>
    <row r="1119" spans="2:3">
      <c r="B1119" s="197">
        <v>44649</v>
      </c>
      <c r="C1119" s="198">
        <v>24917.57</v>
      </c>
    </row>
    <row r="1120" spans="2:3">
      <c r="B1120" s="197">
        <v>44648</v>
      </c>
      <c r="C1120" s="198">
        <v>24768.69</v>
      </c>
    </row>
    <row r="1121" spans="2:3">
      <c r="B1121" s="197">
        <v>44645</v>
      </c>
      <c r="C1121" s="198">
        <v>24669.45</v>
      </c>
    </row>
    <row r="1122" spans="2:3">
      <c r="B1122" s="197">
        <v>44644</v>
      </c>
      <c r="C1122" s="198">
        <v>24769.75</v>
      </c>
    </row>
    <row r="1123" spans="2:3">
      <c r="B1123" s="197">
        <v>44643</v>
      </c>
      <c r="C1123" s="198">
        <v>24802.74</v>
      </c>
    </row>
    <row r="1124" spans="2:3">
      <c r="B1124" s="197">
        <v>44642</v>
      </c>
      <c r="C1124" s="198">
        <v>24903.14</v>
      </c>
    </row>
    <row r="1125" spans="2:3">
      <c r="B1125" s="197">
        <v>44641</v>
      </c>
      <c r="C1125" s="198">
        <v>24618.52</v>
      </c>
    </row>
    <row r="1126" spans="2:3">
      <c r="B1126" s="197">
        <v>44637</v>
      </c>
      <c r="C1126" s="198">
        <v>24862.27</v>
      </c>
    </row>
    <row r="1127" spans="2:3">
      <c r="B1127" s="197">
        <v>44636</v>
      </c>
      <c r="C1127" s="198">
        <v>24414</v>
      </c>
    </row>
    <row r="1128" spans="2:3">
      <c r="B1128" s="197">
        <v>44635</v>
      </c>
      <c r="C1128" s="198">
        <v>23964.720000000001</v>
      </c>
    </row>
    <row r="1129" spans="2:3">
      <c r="B1129" s="197">
        <v>44634</v>
      </c>
      <c r="C1129" s="198">
        <v>24264.29</v>
      </c>
    </row>
    <row r="1130" spans="2:3">
      <c r="B1130" s="197">
        <v>44631</v>
      </c>
      <c r="C1130" s="198">
        <v>23917.96</v>
      </c>
    </row>
    <row r="1131" spans="2:3">
      <c r="B1131" s="197">
        <v>44630</v>
      </c>
      <c r="C1131" s="198">
        <v>23866.77</v>
      </c>
    </row>
    <row r="1132" spans="2:3">
      <c r="B1132" s="197">
        <v>44629</v>
      </c>
      <c r="C1132" s="198">
        <v>23507.87</v>
      </c>
    </row>
    <row r="1133" spans="2:3">
      <c r="B1133" s="197">
        <v>44628</v>
      </c>
      <c r="C1133" s="198">
        <v>23030.560000000001</v>
      </c>
    </row>
    <row r="1134" spans="2:3">
      <c r="B1134" s="197">
        <v>44627</v>
      </c>
      <c r="C1134" s="198">
        <v>22814.41</v>
      </c>
    </row>
    <row r="1135" spans="2:3">
      <c r="B1135" s="197">
        <v>44624</v>
      </c>
      <c r="C1135" s="198">
        <v>23364.07</v>
      </c>
    </row>
    <row r="1136" spans="2:3">
      <c r="B1136" s="197">
        <v>44623</v>
      </c>
      <c r="C1136" s="198">
        <v>23727.54</v>
      </c>
    </row>
    <row r="1137" spans="2:3">
      <c r="B1137" s="197">
        <v>44622</v>
      </c>
      <c r="C1137" s="198">
        <v>23882.720000000001</v>
      </c>
    </row>
    <row r="1138" spans="2:3">
      <c r="B1138" s="197">
        <v>44620</v>
      </c>
      <c r="C1138" s="198">
        <v>24153.01</v>
      </c>
    </row>
    <row r="1139" spans="2:3">
      <c r="B1139" s="197">
        <v>44617</v>
      </c>
      <c r="C1139" s="198">
        <v>23958.1</v>
      </c>
    </row>
    <row r="1140" spans="2:3">
      <c r="B1140" s="197">
        <v>44616</v>
      </c>
      <c r="C1140" s="198">
        <v>23367.85</v>
      </c>
    </row>
    <row r="1141" spans="2:3">
      <c r="B1141" s="197">
        <v>44615</v>
      </c>
      <c r="C1141" s="198">
        <v>24540.41</v>
      </c>
    </row>
    <row r="1142" spans="2:3">
      <c r="B1142" s="197">
        <v>44614</v>
      </c>
      <c r="C1142" s="198">
        <v>24582.05</v>
      </c>
    </row>
    <row r="1143" spans="2:3">
      <c r="B1143" s="197">
        <v>44613</v>
      </c>
      <c r="C1143" s="198">
        <v>24746.59</v>
      </c>
    </row>
    <row r="1144" spans="2:3">
      <c r="B1144" s="197">
        <v>44610</v>
      </c>
      <c r="C1144" s="198">
        <v>24838.68</v>
      </c>
    </row>
    <row r="1145" spans="2:3">
      <c r="B1145" s="197">
        <v>44609</v>
      </c>
      <c r="C1145" s="198">
        <v>24879.32</v>
      </c>
    </row>
    <row r="1146" spans="2:3">
      <c r="B1146" s="197">
        <v>44608</v>
      </c>
      <c r="C1146" s="198">
        <v>24904.67</v>
      </c>
    </row>
    <row r="1147" spans="2:3">
      <c r="B1147" s="197">
        <v>44607</v>
      </c>
      <c r="C1147" s="198">
        <v>24941.93</v>
      </c>
    </row>
    <row r="1148" spans="2:3">
      <c r="B1148" s="197">
        <v>44606</v>
      </c>
      <c r="C1148" s="198">
        <v>24209.38</v>
      </c>
    </row>
    <row r="1149" spans="2:3">
      <c r="B1149" s="197">
        <v>44603</v>
      </c>
      <c r="C1149" s="198">
        <v>24958.45</v>
      </c>
    </row>
    <row r="1150" spans="2:3">
      <c r="B1150" s="197">
        <v>44602</v>
      </c>
      <c r="C1150" s="198">
        <v>25290.42</v>
      </c>
    </row>
    <row r="1151" spans="2:3">
      <c r="B1151" s="197">
        <v>44601</v>
      </c>
      <c r="C1151" s="198">
        <v>25084.6</v>
      </c>
    </row>
    <row r="1152" spans="2:3">
      <c r="B1152" s="197">
        <v>44600</v>
      </c>
      <c r="C1152" s="198">
        <v>24795.759999999998</v>
      </c>
    </row>
    <row r="1153" spans="2:3">
      <c r="B1153" s="197">
        <v>44599</v>
      </c>
      <c r="C1153" s="198">
        <v>24719.45</v>
      </c>
    </row>
    <row r="1154" spans="2:3">
      <c r="B1154" s="197">
        <v>44596</v>
      </c>
      <c r="C1154" s="198">
        <v>25154.14</v>
      </c>
    </row>
    <row r="1155" spans="2:3">
      <c r="B1155" s="197">
        <v>44595</v>
      </c>
      <c r="C1155" s="198">
        <v>25217.200000000001</v>
      </c>
    </row>
    <row r="1156" spans="2:3">
      <c r="B1156" s="197">
        <v>44594</v>
      </c>
      <c r="C1156" s="198">
        <v>25526.55</v>
      </c>
    </row>
    <row r="1157" spans="2:3">
      <c r="B1157" s="197">
        <v>44593</v>
      </c>
      <c r="C1157" s="198">
        <v>25234.89</v>
      </c>
    </row>
    <row r="1158" spans="2:3">
      <c r="B1158" s="197">
        <v>44592</v>
      </c>
      <c r="C1158" s="198">
        <v>24894.62</v>
      </c>
    </row>
    <row r="1159" spans="2:3">
      <c r="B1159" s="197">
        <v>44589</v>
      </c>
      <c r="C1159" s="198">
        <v>24553.040000000001</v>
      </c>
    </row>
    <row r="1160" spans="2:3">
      <c r="B1160" s="197">
        <v>44588</v>
      </c>
      <c r="C1160" s="198">
        <v>24564.81</v>
      </c>
    </row>
    <row r="1161" spans="2:3">
      <c r="B1161" s="197">
        <v>44586</v>
      </c>
      <c r="C1161" s="198">
        <v>24805.75</v>
      </c>
    </row>
    <row r="1162" spans="2:3">
      <c r="B1162" s="197">
        <v>44585</v>
      </c>
      <c r="C1162" s="198">
        <v>24620.720000000001</v>
      </c>
    </row>
    <row r="1163" spans="2:3">
      <c r="B1163" s="197">
        <v>44582</v>
      </c>
      <c r="C1163" s="198">
        <v>25292.720000000001</v>
      </c>
    </row>
    <row r="1164" spans="2:3">
      <c r="B1164" s="197">
        <v>44581</v>
      </c>
      <c r="C1164" s="198">
        <v>25492.99</v>
      </c>
    </row>
    <row r="1165" spans="2:3">
      <c r="B1165" s="197">
        <v>44580</v>
      </c>
      <c r="C1165" s="198">
        <v>25749.81</v>
      </c>
    </row>
    <row r="1166" spans="2:3">
      <c r="B1166" s="197">
        <v>44579</v>
      </c>
      <c r="C1166" s="198">
        <v>25998.14</v>
      </c>
    </row>
    <row r="1167" spans="2:3">
      <c r="B1167" s="197">
        <v>44578</v>
      </c>
      <c r="C1167" s="198">
        <v>26278.07</v>
      </c>
    </row>
    <row r="1168" spans="2:3">
      <c r="B1168" s="197">
        <v>44575</v>
      </c>
      <c r="C1168" s="198">
        <v>26202.97</v>
      </c>
    </row>
    <row r="1169" spans="2:3">
      <c r="B1169" s="197">
        <v>44574</v>
      </c>
      <c r="C1169" s="198">
        <v>26205.87</v>
      </c>
    </row>
    <row r="1170" spans="2:3">
      <c r="B1170" s="197">
        <v>44573</v>
      </c>
      <c r="C1170" s="198">
        <v>26140.68</v>
      </c>
    </row>
    <row r="1171" spans="2:3">
      <c r="B1171" s="197">
        <v>44572</v>
      </c>
      <c r="C1171" s="198">
        <v>25915.89</v>
      </c>
    </row>
    <row r="1172" spans="2:3">
      <c r="B1172" s="197">
        <v>44571</v>
      </c>
      <c r="C1172" s="198">
        <v>25840.62</v>
      </c>
    </row>
    <row r="1173" spans="2:3">
      <c r="B1173" s="197">
        <v>44568</v>
      </c>
      <c r="C1173" s="198">
        <v>25567.06</v>
      </c>
    </row>
    <row r="1174" spans="2:3">
      <c r="B1174" s="197">
        <v>44567</v>
      </c>
      <c r="C1174" s="198">
        <v>25471.18</v>
      </c>
    </row>
    <row r="1175" spans="2:3">
      <c r="B1175" s="197">
        <v>44566</v>
      </c>
      <c r="C1175" s="198">
        <v>25728.58</v>
      </c>
    </row>
    <row r="1176" spans="2:3">
      <c r="B1176" s="197">
        <v>44565</v>
      </c>
      <c r="C1176" s="198">
        <v>25556.34</v>
      </c>
    </row>
    <row r="1177" spans="2:3">
      <c r="B1177" s="197">
        <v>44564</v>
      </c>
      <c r="C1177" s="198">
        <v>25298.63</v>
      </c>
    </row>
    <row r="1178" spans="2:3">
      <c r="B1178" s="197">
        <v>44561</v>
      </c>
      <c r="C1178" s="198">
        <v>24908.71</v>
      </c>
    </row>
    <row r="1179" spans="2:3">
      <c r="B1179" s="197">
        <v>44560</v>
      </c>
      <c r="C1179" s="198">
        <v>24693.25</v>
      </c>
    </row>
    <row r="1180" spans="2:3">
      <c r="B1180" s="197">
        <v>44559</v>
      </c>
      <c r="C1180" s="198">
        <v>24707.1</v>
      </c>
    </row>
    <row r="1181" spans="2:3">
      <c r="B1181" s="197">
        <v>44558</v>
      </c>
      <c r="C1181" s="198">
        <v>24735.32</v>
      </c>
    </row>
    <row r="1182" spans="2:3">
      <c r="B1182" s="197">
        <v>44557</v>
      </c>
      <c r="C1182" s="198">
        <v>24524.36</v>
      </c>
    </row>
    <row r="1183" spans="2:3">
      <c r="B1183" s="197">
        <v>44554</v>
      </c>
      <c r="C1183" s="198">
        <v>24405.96</v>
      </c>
    </row>
    <row r="1184" spans="2:3">
      <c r="B1184" s="197">
        <v>44553</v>
      </c>
      <c r="C1184" s="198">
        <v>24504.75</v>
      </c>
    </row>
    <row r="1185" spans="2:3">
      <c r="B1185" s="197">
        <v>44552</v>
      </c>
      <c r="C1185" s="198">
        <v>24336.62</v>
      </c>
    </row>
    <row r="1186" spans="2:3">
      <c r="B1186" s="197">
        <v>44551</v>
      </c>
      <c r="C1186" s="198">
        <v>24063.78</v>
      </c>
    </row>
    <row r="1187" spans="2:3">
      <c r="B1187" s="197">
        <v>44550</v>
      </c>
      <c r="C1187" s="198">
        <v>23839.01</v>
      </c>
    </row>
    <row r="1188" spans="2:3">
      <c r="B1188" s="197">
        <v>44547</v>
      </c>
      <c r="C1188" s="198">
        <v>24371.37</v>
      </c>
    </row>
    <row r="1189" spans="2:3">
      <c r="B1189" s="197">
        <v>44546</v>
      </c>
      <c r="C1189" s="198">
        <v>24749.01</v>
      </c>
    </row>
    <row r="1190" spans="2:3">
      <c r="B1190" s="197">
        <v>44545</v>
      </c>
      <c r="C1190" s="198">
        <v>24710.3</v>
      </c>
    </row>
    <row r="1191" spans="2:3">
      <c r="B1191" s="197">
        <v>44544</v>
      </c>
      <c r="C1191" s="198">
        <v>24858.79</v>
      </c>
    </row>
    <row r="1192" spans="2:3">
      <c r="B1192" s="197">
        <v>44543</v>
      </c>
      <c r="C1192" s="198">
        <v>24921.02</v>
      </c>
    </row>
    <row r="1193" spans="2:3">
      <c r="B1193" s="197">
        <v>44540</v>
      </c>
      <c r="C1193" s="198">
        <v>25126.240000000002</v>
      </c>
    </row>
    <row r="1194" spans="2:3">
      <c r="B1194" s="197">
        <v>44539</v>
      </c>
      <c r="C1194" s="198">
        <v>25134.23</v>
      </c>
    </row>
    <row r="1195" spans="2:3">
      <c r="B1195" s="197">
        <v>44538</v>
      </c>
      <c r="C1195" s="198">
        <v>25066.62</v>
      </c>
    </row>
    <row r="1196" spans="2:3">
      <c r="B1196" s="197">
        <v>44537</v>
      </c>
      <c r="C1196" s="198">
        <v>24646.18</v>
      </c>
    </row>
    <row r="1197" spans="2:3">
      <c r="B1197" s="197">
        <v>44536</v>
      </c>
      <c r="C1197" s="198">
        <v>24266.71</v>
      </c>
    </row>
    <row r="1198" spans="2:3">
      <c r="B1198" s="197">
        <v>44533</v>
      </c>
      <c r="C1198" s="198">
        <v>24674.83</v>
      </c>
    </row>
    <row r="1199" spans="2:3">
      <c r="B1199" s="197">
        <v>44532</v>
      </c>
      <c r="C1199" s="198">
        <v>24968.91</v>
      </c>
    </row>
    <row r="1200" spans="2:3">
      <c r="B1200" s="197">
        <v>44531</v>
      </c>
      <c r="C1200" s="198">
        <v>24632.06</v>
      </c>
    </row>
    <row r="1201" spans="2:3">
      <c r="B1201" s="197">
        <v>44530</v>
      </c>
      <c r="C1201" s="198">
        <v>24368.53</v>
      </c>
    </row>
    <row r="1202" spans="2:3">
      <c r="B1202" s="197">
        <v>44529</v>
      </c>
      <c r="C1202" s="198">
        <v>24469.99</v>
      </c>
    </row>
    <row r="1203" spans="2:3">
      <c r="B1203" s="197">
        <v>44526</v>
      </c>
      <c r="C1203" s="198">
        <v>24430.53</v>
      </c>
    </row>
    <row r="1204" spans="2:3">
      <c r="B1204" s="197">
        <v>44525</v>
      </c>
      <c r="C1204" s="198">
        <v>25162.07</v>
      </c>
    </row>
    <row r="1205" spans="2:3">
      <c r="B1205" s="197">
        <v>44524</v>
      </c>
      <c r="C1205" s="198">
        <v>24988.18</v>
      </c>
    </row>
    <row r="1206" spans="2:3">
      <c r="B1206" s="197">
        <v>44523</v>
      </c>
      <c r="C1206" s="198">
        <v>25114.82</v>
      </c>
    </row>
    <row r="1207" spans="2:3">
      <c r="B1207" s="197">
        <v>44522</v>
      </c>
      <c r="C1207" s="198">
        <v>24990.27</v>
      </c>
    </row>
    <row r="1208" spans="2:3">
      <c r="B1208" s="197">
        <v>44518</v>
      </c>
      <c r="C1208" s="198">
        <v>25483.23</v>
      </c>
    </row>
    <row r="1209" spans="2:3">
      <c r="B1209" s="197">
        <v>44517</v>
      </c>
      <c r="C1209" s="198">
        <v>25675.200000000001</v>
      </c>
    </row>
    <row r="1210" spans="2:3">
      <c r="B1210" s="197">
        <v>44516</v>
      </c>
      <c r="C1210" s="198">
        <v>25819.49</v>
      </c>
    </row>
    <row r="1211" spans="2:3">
      <c r="B1211" s="197">
        <v>44515</v>
      </c>
      <c r="C1211" s="198">
        <v>25977.61</v>
      </c>
    </row>
    <row r="1212" spans="2:3">
      <c r="B1212" s="197">
        <v>44512</v>
      </c>
      <c r="C1212" s="198">
        <v>25968.02</v>
      </c>
    </row>
    <row r="1213" spans="2:3">
      <c r="B1213" s="197">
        <v>44511</v>
      </c>
      <c r="C1213" s="198">
        <v>25639.32</v>
      </c>
    </row>
    <row r="1214" spans="2:3">
      <c r="B1214" s="197">
        <v>44510</v>
      </c>
      <c r="C1214" s="198">
        <v>25839.47</v>
      </c>
    </row>
    <row r="1215" spans="2:3">
      <c r="B1215" s="197">
        <v>44509</v>
      </c>
      <c r="C1215" s="198">
        <v>25878.28</v>
      </c>
    </row>
    <row r="1216" spans="2:3">
      <c r="B1216" s="197">
        <v>44508</v>
      </c>
      <c r="C1216" s="198">
        <v>25913.09</v>
      </c>
    </row>
    <row r="1217" spans="2:3">
      <c r="B1217" s="197">
        <v>44503</v>
      </c>
      <c r="C1217" s="198">
        <v>25569.86</v>
      </c>
    </row>
    <row r="1218" spans="2:3">
      <c r="B1218" s="197">
        <v>44502</v>
      </c>
      <c r="C1218" s="198">
        <v>25655.51</v>
      </c>
    </row>
    <row r="1219" spans="2:3">
      <c r="B1219" s="197">
        <v>44501</v>
      </c>
      <c r="C1219" s="198">
        <v>25710.799999999999</v>
      </c>
    </row>
    <row r="1220" spans="2:3">
      <c r="B1220" s="197">
        <v>44498</v>
      </c>
      <c r="C1220" s="198">
        <v>25340.83</v>
      </c>
    </row>
    <row r="1221" spans="2:3">
      <c r="B1221" s="197">
        <v>44497</v>
      </c>
      <c r="C1221" s="198">
        <v>25606.99</v>
      </c>
    </row>
    <row r="1222" spans="2:3">
      <c r="B1222" s="197">
        <v>44496</v>
      </c>
      <c r="C1222" s="198">
        <v>26113.62</v>
      </c>
    </row>
    <row r="1223" spans="2:3">
      <c r="B1223" s="197">
        <v>44495</v>
      </c>
      <c r="C1223" s="198">
        <v>26196.05</v>
      </c>
    </row>
    <row r="1224" spans="2:3">
      <c r="B1224" s="197">
        <v>44494</v>
      </c>
      <c r="C1224" s="198">
        <v>25967.040000000001</v>
      </c>
    </row>
    <row r="1225" spans="2:3">
      <c r="B1225" s="197">
        <v>44491</v>
      </c>
      <c r="C1225" s="198">
        <v>25952.01</v>
      </c>
    </row>
    <row r="1226" spans="2:3">
      <c r="B1226" s="197">
        <v>44490</v>
      </c>
      <c r="C1226" s="198">
        <v>26042.59</v>
      </c>
    </row>
    <row r="1227" spans="2:3">
      <c r="B1227" s="197">
        <v>44489</v>
      </c>
      <c r="C1227" s="198">
        <v>26165.78</v>
      </c>
    </row>
    <row r="1228" spans="2:3">
      <c r="B1228" s="197">
        <v>44488</v>
      </c>
      <c r="C1228" s="198">
        <v>26383.71</v>
      </c>
    </row>
    <row r="1229" spans="2:3">
      <c r="B1229" s="197">
        <v>44487</v>
      </c>
      <c r="C1229" s="198">
        <v>26467.21</v>
      </c>
    </row>
    <row r="1230" spans="2:3">
      <c r="B1230" s="197">
        <v>44483</v>
      </c>
      <c r="C1230" s="198">
        <v>26268.83</v>
      </c>
    </row>
    <row r="1231" spans="2:3">
      <c r="B1231" s="197">
        <v>44482</v>
      </c>
      <c r="C1231" s="198">
        <v>26013.19</v>
      </c>
    </row>
    <row r="1232" spans="2:3">
      <c r="B1232" s="197">
        <v>44481</v>
      </c>
      <c r="C1232" s="198">
        <v>25770.01</v>
      </c>
    </row>
    <row r="1233" spans="2:3">
      <c r="B1233" s="197">
        <v>44480</v>
      </c>
      <c r="C1233" s="198">
        <v>25704.1</v>
      </c>
    </row>
    <row r="1234" spans="2:3">
      <c r="B1234" s="197">
        <v>44477</v>
      </c>
      <c r="C1234" s="198">
        <v>25631.38</v>
      </c>
    </row>
    <row r="1235" spans="2:3">
      <c r="B1235" s="197">
        <v>44476</v>
      </c>
      <c r="C1235" s="198">
        <v>25481.26</v>
      </c>
    </row>
    <row r="1236" spans="2:3">
      <c r="B1236" s="197">
        <v>44475</v>
      </c>
      <c r="C1236" s="198">
        <v>25274.48</v>
      </c>
    </row>
    <row r="1237" spans="2:3">
      <c r="B1237" s="197">
        <v>44474</v>
      </c>
      <c r="C1237" s="198">
        <v>25526.98</v>
      </c>
    </row>
    <row r="1238" spans="2:3">
      <c r="B1238" s="197">
        <v>44473</v>
      </c>
      <c r="C1238" s="198">
        <v>25339.32</v>
      </c>
    </row>
    <row r="1239" spans="2:3">
      <c r="B1239" s="197">
        <v>44470</v>
      </c>
      <c r="C1239" s="198">
        <v>25111.25</v>
      </c>
    </row>
    <row r="1240" spans="2:3">
      <c r="B1240" s="197">
        <v>44469</v>
      </c>
      <c r="C1240" s="198">
        <v>25234.57</v>
      </c>
    </row>
    <row r="1241" spans="2:3">
      <c r="B1241" s="197">
        <v>44468</v>
      </c>
      <c r="C1241" s="198">
        <v>25367.99</v>
      </c>
    </row>
    <row r="1242" spans="2:3">
      <c r="B1242" s="197">
        <v>44467</v>
      </c>
      <c r="C1242" s="198">
        <v>25421.46</v>
      </c>
    </row>
    <row r="1243" spans="2:3">
      <c r="B1243" s="197">
        <v>44466</v>
      </c>
      <c r="C1243" s="198">
        <v>25573.99</v>
      </c>
    </row>
    <row r="1244" spans="2:3">
      <c r="B1244" s="197">
        <v>44463</v>
      </c>
      <c r="C1244" s="198">
        <v>25571.24</v>
      </c>
    </row>
    <row r="1245" spans="2:3">
      <c r="B1245" s="197">
        <v>44462</v>
      </c>
      <c r="C1245" s="198">
        <v>25527.919999999998</v>
      </c>
    </row>
    <row r="1246" spans="2:3">
      <c r="B1246" s="197">
        <v>44461</v>
      </c>
      <c r="C1246" s="198">
        <v>25132.15</v>
      </c>
    </row>
    <row r="1247" spans="2:3">
      <c r="B1247" s="197">
        <v>44460</v>
      </c>
      <c r="C1247" s="198">
        <v>25154.16</v>
      </c>
    </row>
    <row r="1248" spans="2:3">
      <c r="B1248" s="197">
        <v>44459</v>
      </c>
      <c r="C1248" s="198">
        <v>24917.72</v>
      </c>
    </row>
    <row r="1249" spans="2:3">
      <c r="B1249" s="197">
        <v>44456</v>
      </c>
      <c r="C1249" s="198">
        <v>25187.34</v>
      </c>
    </row>
    <row r="1250" spans="2:3">
      <c r="B1250" s="197">
        <v>44455</v>
      </c>
      <c r="C1250" s="198">
        <v>25250.87</v>
      </c>
    </row>
    <row r="1251" spans="2:3">
      <c r="B1251" s="197">
        <v>44454</v>
      </c>
      <c r="C1251" s="198">
        <v>25093.22</v>
      </c>
    </row>
    <row r="1252" spans="2:3">
      <c r="B1252" s="197">
        <v>44453</v>
      </c>
      <c r="C1252" s="198">
        <v>24893.51</v>
      </c>
    </row>
    <row r="1253" spans="2:3">
      <c r="B1253" s="197">
        <v>44452</v>
      </c>
      <c r="C1253" s="198">
        <v>24858.12</v>
      </c>
    </row>
    <row r="1254" spans="2:3">
      <c r="B1254" s="197">
        <v>44448</v>
      </c>
      <c r="C1254" s="198">
        <v>24878.09</v>
      </c>
    </row>
    <row r="1255" spans="2:3">
      <c r="B1255" s="197">
        <v>44447</v>
      </c>
      <c r="C1255" s="198">
        <v>24855.5</v>
      </c>
    </row>
    <row r="1256" spans="2:3">
      <c r="B1256" s="197">
        <v>44446</v>
      </c>
      <c r="C1256" s="198">
        <v>24857.27</v>
      </c>
    </row>
    <row r="1257" spans="2:3">
      <c r="B1257" s="197">
        <v>44445</v>
      </c>
      <c r="C1257" s="198">
        <v>24879.79</v>
      </c>
    </row>
    <row r="1258" spans="2:3">
      <c r="B1258" s="197">
        <v>44442</v>
      </c>
      <c r="C1258" s="198">
        <v>24802.17</v>
      </c>
    </row>
    <row r="1259" spans="2:3">
      <c r="B1259" s="197">
        <v>44441</v>
      </c>
      <c r="C1259" s="198">
        <v>24674.11</v>
      </c>
    </row>
    <row r="1260" spans="2:3">
      <c r="B1260" s="197">
        <v>44440</v>
      </c>
      <c r="C1260" s="198">
        <v>24445.62</v>
      </c>
    </row>
    <row r="1261" spans="2:3">
      <c r="B1261" s="197">
        <v>44439</v>
      </c>
      <c r="C1261" s="198">
        <v>24525.71</v>
      </c>
    </row>
    <row r="1262" spans="2:3">
      <c r="B1262" s="197">
        <v>44438</v>
      </c>
      <c r="C1262" s="198">
        <v>24237.8</v>
      </c>
    </row>
    <row r="1263" spans="2:3">
      <c r="B1263" s="197">
        <v>44435</v>
      </c>
      <c r="C1263" s="198">
        <v>23914.48</v>
      </c>
    </row>
    <row r="1264" spans="2:3">
      <c r="B1264" s="197">
        <v>44434</v>
      </c>
      <c r="C1264" s="198">
        <v>23816.68</v>
      </c>
    </row>
    <row r="1265" spans="2:3">
      <c r="B1265" s="197">
        <v>44433</v>
      </c>
      <c r="C1265" s="198">
        <v>23813.43</v>
      </c>
    </row>
    <row r="1266" spans="2:3">
      <c r="B1266" s="197">
        <v>44432</v>
      </c>
      <c r="C1266" s="198">
        <v>23799.1</v>
      </c>
    </row>
    <row r="1267" spans="2:3">
      <c r="B1267" s="197">
        <v>44431</v>
      </c>
      <c r="C1267" s="198">
        <v>23615.61</v>
      </c>
    </row>
    <row r="1268" spans="2:3">
      <c r="B1268" s="197">
        <v>44428</v>
      </c>
      <c r="C1268" s="198">
        <v>23549.09</v>
      </c>
    </row>
    <row r="1269" spans="2:3">
      <c r="B1269" s="197">
        <v>44426</v>
      </c>
      <c r="C1269" s="198">
        <v>23718.57</v>
      </c>
    </row>
    <row r="1270" spans="2:3">
      <c r="B1270" s="197">
        <v>44425</v>
      </c>
      <c r="C1270" s="198">
        <v>23784.05</v>
      </c>
    </row>
    <row r="1271" spans="2:3">
      <c r="B1271" s="197">
        <v>44424</v>
      </c>
      <c r="C1271" s="198">
        <v>23708.38</v>
      </c>
    </row>
    <row r="1272" spans="2:3">
      <c r="B1272" s="197">
        <v>44421</v>
      </c>
      <c r="C1272" s="198">
        <v>23659.78</v>
      </c>
    </row>
    <row r="1273" spans="2:3">
      <c r="B1273" s="197">
        <v>44420</v>
      </c>
      <c r="C1273" s="198">
        <v>23424.04</v>
      </c>
    </row>
    <row r="1274" spans="2:3">
      <c r="B1274" s="197">
        <v>44419</v>
      </c>
      <c r="C1274" s="198">
        <v>23303.89</v>
      </c>
    </row>
    <row r="1275" spans="2:3">
      <c r="B1275" s="197">
        <v>44418</v>
      </c>
      <c r="C1275" s="198">
        <v>23300.36</v>
      </c>
    </row>
    <row r="1276" spans="2:3">
      <c r="B1276" s="197">
        <v>44417</v>
      </c>
      <c r="C1276" s="198">
        <v>23269.119999999999</v>
      </c>
    </row>
    <row r="1277" spans="2:3">
      <c r="B1277" s="197">
        <v>44414</v>
      </c>
      <c r="C1277" s="198">
        <v>23238.83</v>
      </c>
    </row>
    <row r="1278" spans="2:3">
      <c r="B1278" s="197">
        <v>44413</v>
      </c>
      <c r="C1278" s="198">
        <v>23319.53</v>
      </c>
    </row>
    <row r="1279" spans="2:3">
      <c r="B1279" s="197">
        <v>44412</v>
      </c>
      <c r="C1279" s="198">
        <v>23265.07</v>
      </c>
    </row>
    <row r="1280" spans="2:3">
      <c r="B1280" s="197">
        <v>44411</v>
      </c>
      <c r="C1280" s="198">
        <v>23081.86</v>
      </c>
    </row>
    <row r="1281" spans="2:3">
      <c r="B1281" s="197">
        <v>44410</v>
      </c>
      <c r="C1281" s="198">
        <v>22730.42</v>
      </c>
    </row>
    <row r="1282" spans="2:3">
      <c r="B1282" s="197">
        <v>44407</v>
      </c>
      <c r="C1282" s="198">
        <v>22554.26</v>
      </c>
    </row>
    <row r="1283" spans="2:3">
      <c r="B1283" s="197">
        <v>44406</v>
      </c>
      <c r="C1283" s="198">
        <v>22576.34</v>
      </c>
    </row>
    <row r="1284" spans="2:3">
      <c r="B1284" s="197">
        <v>44405</v>
      </c>
      <c r="C1284" s="198">
        <v>22472.95</v>
      </c>
    </row>
    <row r="1285" spans="2:3">
      <c r="B1285" s="197">
        <v>44404</v>
      </c>
      <c r="C1285" s="198">
        <v>22518.799999999999</v>
      </c>
    </row>
    <row r="1286" spans="2:3">
      <c r="B1286" s="197">
        <v>44403</v>
      </c>
      <c r="C1286" s="198">
        <v>22628.19</v>
      </c>
    </row>
    <row r="1287" spans="2:3">
      <c r="B1287" s="197">
        <v>44400</v>
      </c>
      <c r="C1287" s="198">
        <v>22673.35</v>
      </c>
    </row>
    <row r="1288" spans="2:3">
      <c r="B1288" s="197">
        <v>44399</v>
      </c>
      <c r="C1288" s="198">
        <v>22621.45</v>
      </c>
    </row>
    <row r="1289" spans="2:3">
      <c r="B1289" s="197">
        <v>44397</v>
      </c>
      <c r="C1289" s="198">
        <v>22344.81</v>
      </c>
    </row>
    <row r="1290" spans="2:3">
      <c r="B1290" s="197">
        <v>44396</v>
      </c>
      <c r="C1290" s="198">
        <v>22516.71</v>
      </c>
    </row>
    <row r="1291" spans="2:3">
      <c r="B1291" s="197">
        <v>44393</v>
      </c>
      <c r="C1291" s="198">
        <v>22761.200000000001</v>
      </c>
    </row>
    <row r="1292" spans="2:3">
      <c r="B1292" s="197">
        <v>44392</v>
      </c>
      <c r="C1292" s="198">
        <v>22762.34</v>
      </c>
    </row>
    <row r="1293" spans="2:3">
      <c r="B1293" s="197">
        <v>44391</v>
      </c>
      <c r="C1293" s="198">
        <v>22656.78</v>
      </c>
    </row>
    <row r="1294" spans="2:3">
      <c r="B1294" s="197">
        <v>44390</v>
      </c>
      <c r="C1294" s="198">
        <v>22595.49</v>
      </c>
    </row>
    <row r="1295" spans="2:3">
      <c r="B1295" s="197">
        <v>44389</v>
      </c>
      <c r="C1295" s="198">
        <v>22424.39</v>
      </c>
    </row>
    <row r="1296" spans="2:3">
      <c r="B1296" s="197">
        <v>44386</v>
      </c>
      <c r="C1296" s="198">
        <v>22420.36</v>
      </c>
    </row>
    <row r="1297" spans="2:3">
      <c r="B1297" s="197">
        <v>44385</v>
      </c>
      <c r="C1297" s="198">
        <v>22473.81</v>
      </c>
    </row>
    <row r="1298" spans="2:3">
      <c r="B1298" s="197">
        <v>44384</v>
      </c>
      <c r="C1298" s="198">
        <v>22683.66</v>
      </c>
    </row>
    <row r="1299" spans="2:3">
      <c r="B1299" s="197">
        <v>44383</v>
      </c>
      <c r="C1299" s="198">
        <v>22595.93</v>
      </c>
    </row>
    <row r="1300" spans="2:3">
      <c r="B1300" s="197">
        <v>44382</v>
      </c>
      <c r="C1300" s="198">
        <v>22618.97</v>
      </c>
    </row>
    <row r="1301" spans="2:3">
      <c r="B1301" s="197">
        <v>44379</v>
      </c>
      <c r="C1301" s="198">
        <v>22456.66</v>
      </c>
    </row>
    <row r="1302" spans="2:3">
      <c r="B1302" s="197">
        <v>44378</v>
      </c>
      <c r="C1302" s="198">
        <v>22396.400000000001</v>
      </c>
    </row>
    <row r="1303" spans="2:3">
      <c r="B1303" s="197">
        <v>44377</v>
      </c>
      <c r="C1303" s="198">
        <v>22455.7</v>
      </c>
    </row>
    <row r="1304" spans="2:3">
      <c r="B1304" s="197">
        <v>44376</v>
      </c>
      <c r="C1304" s="198">
        <v>22493.599999999999</v>
      </c>
    </row>
    <row r="1305" spans="2:3">
      <c r="B1305" s="197">
        <v>44375</v>
      </c>
      <c r="C1305" s="198">
        <v>22578.86</v>
      </c>
    </row>
    <row r="1306" spans="2:3">
      <c r="B1306" s="197">
        <v>44372</v>
      </c>
      <c r="C1306" s="198">
        <v>22644.06</v>
      </c>
    </row>
    <row r="1307" spans="2:3">
      <c r="B1307" s="197">
        <v>44371</v>
      </c>
      <c r="C1307" s="198">
        <v>22544.26</v>
      </c>
    </row>
    <row r="1308" spans="2:3">
      <c r="B1308" s="197">
        <v>44370</v>
      </c>
      <c r="C1308" s="198">
        <v>22395.25</v>
      </c>
    </row>
    <row r="1309" spans="2:3">
      <c r="B1309" s="197">
        <v>44369</v>
      </c>
      <c r="C1309" s="198">
        <v>22517.74</v>
      </c>
    </row>
    <row r="1310" spans="2:3">
      <c r="B1310" s="197">
        <v>44368</v>
      </c>
      <c r="C1310" s="198">
        <v>22480.3</v>
      </c>
    </row>
    <row r="1311" spans="2:3">
      <c r="B1311" s="197">
        <v>44365</v>
      </c>
      <c r="C1311" s="198">
        <v>22390.11</v>
      </c>
    </row>
    <row r="1312" spans="2:3">
      <c r="B1312" s="197">
        <v>44364</v>
      </c>
      <c r="C1312" s="198">
        <v>22401.65</v>
      </c>
    </row>
    <row r="1313" spans="2:3">
      <c r="B1313" s="197">
        <v>44363</v>
      </c>
      <c r="C1313" s="198">
        <v>22503.9</v>
      </c>
    </row>
    <row r="1314" spans="2:3">
      <c r="B1314" s="197">
        <v>44362</v>
      </c>
      <c r="C1314" s="198">
        <v>22649.05</v>
      </c>
    </row>
    <row r="1315" spans="2:3">
      <c r="B1315" s="197">
        <v>44361</v>
      </c>
      <c r="C1315" s="198">
        <v>22567.11</v>
      </c>
    </row>
    <row r="1316" spans="2:3">
      <c r="B1316" s="197">
        <v>44358</v>
      </c>
      <c r="C1316" s="198">
        <v>22544.26</v>
      </c>
    </row>
    <row r="1317" spans="2:3">
      <c r="B1317" s="197">
        <v>44357</v>
      </c>
      <c r="C1317" s="198">
        <v>22448.94</v>
      </c>
    </row>
    <row r="1318" spans="2:3">
      <c r="B1318" s="197">
        <v>44356</v>
      </c>
      <c r="C1318" s="198">
        <v>22283.52</v>
      </c>
    </row>
    <row r="1319" spans="2:3">
      <c r="B1319" s="197">
        <v>44355</v>
      </c>
      <c r="C1319" s="198">
        <v>22432.77</v>
      </c>
    </row>
    <row r="1320" spans="2:3">
      <c r="B1320" s="197">
        <v>44354</v>
      </c>
      <c r="C1320" s="198">
        <v>22449.24</v>
      </c>
    </row>
    <row r="1321" spans="2:3">
      <c r="B1321" s="197">
        <v>44351</v>
      </c>
      <c r="C1321" s="198">
        <v>22333.23</v>
      </c>
    </row>
    <row r="1322" spans="2:3">
      <c r="B1322" s="197">
        <v>44350</v>
      </c>
      <c r="C1322" s="198">
        <v>22361.86</v>
      </c>
    </row>
    <row r="1323" spans="2:3">
      <c r="B1323" s="197">
        <v>44349</v>
      </c>
      <c r="C1323" s="198">
        <v>22194.18</v>
      </c>
    </row>
    <row r="1324" spans="2:3">
      <c r="B1324" s="197">
        <v>44348</v>
      </c>
      <c r="C1324" s="198">
        <v>22192.25</v>
      </c>
    </row>
    <row r="1325" spans="2:3">
      <c r="B1325" s="197">
        <v>44347</v>
      </c>
      <c r="C1325" s="198">
        <v>22203.59</v>
      </c>
    </row>
    <row r="1326" spans="2:3">
      <c r="B1326" s="197">
        <v>44344</v>
      </c>
      <c r="C1326" s="198">
        <v>21962.31</v>
      </c>
    </row>
    <row r="1327" spans="2:3">
      <c r="B1327" s="197">
        <v>44343</v>
      </c>
      <c r="C1327" s="198">
        <v>21823.14</v>
      </c>
    </row>
    <row r="1328" spans="2:3">
      <c r="B1328" s="197">
        <v>44342</v>
      </c>
      <c r="C1328" s="198">
        <v>21771.35</v>
      </c>
    </row>
    <row r="1329" spans="2:3">
      <c r="B1329" s="197">
        <v>44341</v>
      </c>
      <c r="C1329" s="198">
        <v>21639.040000000001</v>
      </c>
    </row>
    <row r="1330" spans="2:3">
      <c r="B1330" s="197">
        <v>44340</v>
      </c>
      <c r="C1330" s="198">
        <v>21617.03</v>
      </c>
    </row>
    <row r="1331" spans="2:3">
      <c r="B1331" s="197">
        <v>44337</v>
      </c>
      <c r="C1331" s="198">
        <v>21585.18</v>
      </c>
    </row>
    <row r="1332" spans="2:3">
      <c r="B1332" s="197">
        <v>44336</v>
      </c>
      <c r="C1332" s="198">
        <v>21202.21</v>
      </c>
    </row>
    <row r="1333" spans="2:3">
      <c r="B1333" s="197">
        <v>44335</v>
      </c>
      <c r="C1333" s="198">
        <v>21378.71</v>
      </c>
    </row>
    <row r="1334" spans="2:3">
      <c r="B1334" s="197">
        <v>44334</v>
      </c>
      <c r="C1334" s="198">
        <v>21489.56</v>
      </c>
    </row>
    <row r="1335" spans="2:3">
      <c r="B1335" s="197">
        <v>44333</v>
      </c>
      <c r="C1335" s="198">
        <v>21226.53</v>
      </c>
    </row>
    <row r="1336" spans="2:3">
      <c r="B1336" s="197">
        <v>44330</v>
      </c>
      <c r="C1336" s="198">
        <v>20877.560000000001</v>
      </c>
    </row>
    <row r="1337" spans="2:3">
      <c r="B1337" s="197">
        <v>44328</v>
      </c>
      <c r="C1337" s="198">
        <v>20904.13</v>
      </c>
    </row>
    <row r="1338" spans="2:3">
      <c r="B1338" s="197">
        <v>44327</v>
      </c>
      <c r="C1338" s="198">
        <v>21123.53</v>
      </c>
    </row>
    <row r="1339" spans="2:3">
      <c r="B1339" s="197">
        <v>44326</v>
      </c>
      <c r="C1339" s="198">
        <v>21253.8</v>
      </c>
    </row>
    <row r="1340" spans="2:3">
      <c r="B1340" s="197">
        <v>44323</v>
      </c>
      <c r="C1340" s="198">
        <v>21084.26</v>
      </c>
    </row>
    <row r="1341" spans="2:3">
      <c r="B1341" s="197">
        <v>44322</v>
      </c>
      <c r="C1341" s="198">
        <v>20944.41</v>
      </c>
    </row>
    <row r="1342" spans="2:3">
      <c r="B1342" s="197">
        <v>44321</v>
      </c>
      <c r="C1342" s="198">
        <v>20792.240000000002</v>
      </c>
    </row>
    <row r="1343" spans="2:3">
      <c r="B1343" s="197">
        <v>44320</v>
      </c>
      <c r="C1343" s="198">
        <v>20619.62</v>
      </c>
    </row>
    <row r="1344" spans="2:3">
      <c r="B1344" s="197">
        <v>44319</v>
      </c>
      <c r="C1344" s="198">
        <v>20815.43</v>
      </c>
    </row>
    <row r="1345" spans="2:3">
      <c r="B1345" s="197">
        <v>44316</v>
      </c>
      <c r="C1345" s="198">
        <v>20811.13</v>
      </c>
    </row>
    <row r="1346" spans="2:3">
      <c r="B1346" s="197">
        <v>44315</v>
      </c>
      <c r="C1346" s="198">
        <v>21186.3</v>
      </c>
    </row>
    <row r="1347" spans="2:3">
      <c r="B1347" s="197">
        <v>44314</v>
      </c>
      <c r="C1347" s="198">
        <v>21136.41</v>
      </c>
    </row>
    <row r="1348" spans="2:3">
      <c r="B1348" s="197">
        <v>44313</v>
      </c>
      <c r="C1348" s="198">
        <v>20835.669999999998</v>
      </c>
    </row>
    <row r="1349" spans="2:3">
      <c r="B1349" s="197">
        <v>44312</v>
      </c>
      <c r="C1349" s="198">
        <v>20596.72</v>
      </c>
    </row>
    <row r="1350" spans="2:3">
      <c r="B1350" s="197">
        <v>44309</v>
      </c>
      <c r="C1350" s="198">
        <v>20392.439999999999</v>
      </c>
    </row>
    <row r="1351" spans="2:3">
      <c r="B1351" s="197">
        <v>44308</v>
      </c>
      <c r="C1351" s="198">
        <v>20484.63</v>
      </c>
    </row>
    <row r="1352" spans="2:3">
      <c r="B1352" s="197">
        <v>44306</v>
      </c>
      <c r="C1352" s="198">
        <v>20328.55</v>
      </c>
    </row>
    <row r="1353" spans="2:3">
      <c r="B1353" s="197">
        <v>44305</v>
      </c>
      <c r="C1353" s="198">
        <v>20418.16</v>
      </c>
    </row>
    <row r="1354" spans="2:3">
      <c r="B1354" s="197">
        <v>44302</v>
      </c>
      <c r="C1354" s="198">
        <v>20785.61</v>
      </c>
    </row>
    <row r="1355" spans="2:3">
      <c r="B1355" s="197">
        <v>44301</v>
      </c>
      <c r="C1355" s="198">
        <v>20733.88</v>
      </c>
    </row>
    <row r="1356" spans="2:3">
      <c r="B1356" s="197">
        <v>44299</v>
      </c>
      <c r="C1356" s="198">
        <v>20624.86</v>
      </c>
    </row>
    <row r="1357" spans="2:3">
      <c r="B1357" s="197">
        <v>44298</v>
      </c>
      <c r="C1357" s="198">
        <v>20348.990000000002</v>
      </c>
    </row>
    <row r="1358" spans="2:3">
      <c r="B1358" s="197">
        <v>44295</v>
      </c>
      <c r="C1358" s="198">
        <v>21094.17</v>
      </c>
    </row>
    <row r="1359" spans="2:3">
      <c r="B1359" s="197">
        <v>44294</v>
      </c>
      <c r="C1359" s="198">
        <v>21149.59</v>
      </c>
    </row>
    <row r="1360" spans="2:3">
      <c r="B1360" s="197">
        <v>44293</v>
      </c>
      <c r="C1360" s="198">
        <v>21069.32</v>
      </c>
    </row>
    <row r="1361" spans="2:3">
      <c r="B1361" s="197">
        <v>44292</v>
      </c>
      <c r="C1361" s="198">
        <v>20876.57</v>
      </c>
    </row>
    <row r="1362" spans="2:3">
      <c r="B1362" s="197">
        <v>44291</v>
      </c>
      <c r="C1362" s="198">
        <v>20811.61</v>
      </c>
    </row>
    <row r="1363" spans="2:3">
      <c r="B1363" s="197">
        <v>44287</v>
      </c>
      <c r="C1363" s="198">
        <v>21137.69</v>
      </c>
    </row>
    <row r="1364" spans="2:3">
      <c r="B1364" s="197">
        <v>44286</v>
      </c>
      <c r="C1364" s="198">
        <v>20886.52</v>
      </c>
    </row>
    <row r="1365" spans="2:3">
      <c r="B1365" s="197">
        <v>44285</v>
      </c>
      <c r="C1365" s="198">
        <v>21106.06</v>
      </c>
    </row>
    <row r="1366" spans="2:3">
      <c r="B1366" s="197">
        <v>44281</v>
      </c>
      <c r="C1366" s="198">
        <v>20625.79</v>
      </c>
    </row>
    <row r="1367" spans="2:3">
      <c r="B1367" s="197">
        <v>44280</v>
      </c>
      <c r="C1367" s="198">
        <v>20366.419999999998</v>
      </c>
    </row>
    <row r="1368" spans="2:3">
      <c r="B1368" s="197">
        <v>44279</v>
      </c>
      <c r="C1368" s="198">
        <v>20684.27</v>
      </c>
    </row>
    <row r="1369" spans="2:3">
      <c r="B1369" s="197">
        <v>44278</v>
      </c>
      <c r="C1369" s="198">
        <v>21061.52</v>
      </c>
    </row>
    <row r="1370" spans="2:3">
      <c r="B1370" s="197">
        <v>44277</v>
      </c>
      <c r="C1370" s="198">
        <v>20947.650000000001</v>
      </c>
    </row>
    <row r="1371" spans="2:3">
      <c r="B1371" s="197">
        <v>44274</v>
      </c>
      <c r="C1371" s="198">
        <v>20956.87</v>
      </c>
    </row>
    <row r="1372" spans="2:3">
      <c r="B1372" s="197">
        <v>44273</v>
      </c>
      <c r="C1372" s="198">
        <v>20692.34</v>
      </c>
    </row>
    <row r="1373" spans="2:3">
      <c r="B1373" s="197">
        <v>44272</v>
      </c>
      <c r="C1373" s="198">
        <v>20924.61</v>
      </c>
    </row>
    <row r="1374" spans="2:3">
      <c r="B1374" s="197">
        <v>44271</v>
      </c>
      <c r="C1374" s="198">
        <v>21193.46</v>
      </c>
    </row>
    <row r="1375" spans="2:3">
      <c r="B1375" s="197">
        <v>44270</v>
      </c>
      <c r="C1375" s="198">
        <v>21220.59</v>
      </c>
    </row>
    <row r="1376" spans="2:3">
      <c r="B1376" s="197">
        <v>44267</v>
      </c>
      <c r="C1376" s="198">
        <v>21361.29</v>
      </c>
    </row>
    <row r="1377" spans="2:3">
      <c r="B1377" s="197">
        <v>44265</v>
      </c>
      <c r="C1377" s="198">
        <v>21565.72</v>
      </c>
    </row>
    <row r="1378" spans="2:3">
      <c r="B1378" s="197">
        <v>44264</v>
      </c>
      <c r="C1378" s="198">
        <v>21457.17</v>
      </c>
    </row>
    <row r="1379" spans="2:3">
      <c r="B1379" s="197">
        <v>44263</v>
      </c>
      <c r="C1379" s="198">
        <v>21255.06</v>
      </c>
    </row>
    <row r="1380" spans="2:3">
      <c r="B1380" s="197">
        <v>44260</v>
      </c>
      <c r="C1380" s="198">
        <v>21225.94</v>
      </c>
    </row>
    <row r="1381" spans="2:3">
      <c r="B1381" s="197">
        <v>44259</v>
      </c>
      <c r="C1381" s="198">
        <v>21428.63</v>
      </c>
    </row>
    <row r="1382" spans="2:3">
      <c r="B1382" s="197">
        <v>44258</v>
      </c>
      <c r="C1382" s="198">
        <v>21662.92</v>
      </c>
    </row>
    <row r="1383" spans="2:3">
      <c r="B1383" s="197">
        <v>44257</v>
      </c>
      <c r="C1383" s="198">
        <v>21198.93</v>
      </c>
    </row>
    <row r="1384" spans="2:3">
      <c r="B1384" s="197">
        <v>44256</v>
      </c>
      <c r="C1384" s="198">
        <v>20975.08</v>
      </c>
    </row>
    <row r="1385" spans="2:3">
      <c r="B1385" s="197">
        <v>44253</v>
      </c>
      <c r="C1385" s="198">
        <v>20644.88</v>
      </c>
    </row>
    <row r="1386" spans="2:3">
      <c r="B1386" s="197">
        <v>44252</v>
      </c>
      <c r="C1386" s="198">
        <v>21452.240000000002</v>
      </c>
    </row>
    <row r="1387" spans="2:3">
      <c r="B1387" s="197">
        <v>44251</v>
      </c>
      <c r="C1387" s="198">
        <v>21288.35</v>
      </c>
    </row>
    <row r="1388" spans="2:3">
      <c r="B1388" s="197">
        <v>44250</v>
      </c>
      <c r="C1388" s="198">
        <v>20898.75</v>
      </c>
    </row>
    <row r="1389" spans="2:3">
      <c r="B1389" s="197">
        <v>44249</v>
      </c>
      <c r="C1389" s="198">
        <v>20853.12</v>
      </c>
    </row>
    <row r="1390" spans="2:3">
      <c r="B1390" s="197">
        <v>44246</v>
      </c>
      <c r="C1390" s="198">
        <v>21273.279999999999</v>
      </c>
    </row>
    <row r="1391" spans="2:3">
      <c r="B1391" s="197">
        <v>44245</v>
      </c>
      <c r="C1391" s="198">
        <v>21468.11</v>
      </c>
    </row>
    <row r="1392" spans="2:3">
      <c r="B1392" s="197">
        <v>44244</v>
      </c>
      <c r="C1392" s="198">
        <v>21595.82</v>
      </c>
    </row>
    <row r="1393" spans="2:3">
      <c r="B1393" s="197">
        <v>44243</v>
      </c>
      <c r="C1393" s="198">
        <v>21737.9</v>
      </c>
    </row>
    <row r="1394" spans="2:3">
      <c r="B1394" s="197">
        <v>44242</v>
      </c>
      <c r="C1394" s="198">
        <v>21739.69</v>
      </c>
    </row>
    <row r="1395" spans="2:3">
      <c r="B1395" s="197">
        <v>44239</v>
      </c>
      <c r="C1395" s="198">
        <v>21521.82</v>
      </c>
    </row>
    <row r="1396" spans="2:3">
      <c r="B1396" s="197">
        <v>44238</v>
      </c>
      <c r="C1396" s="198">
        <v>21536</v>
      </c>
    </row>
    <row r="1397" spans="2:3">
      <c r="B1397" s="197">
        <v>44237</v>
      </c>
      <c r="C1397" s="198">
        <v>21436.44</v>
      </c>
    </row>
    <row r="1398" spans="2:3">
      <c r="B1398" s="197">
        <v>44236</v>
      </c>
      <c r="C1398" s="198">
        <v>21440.42</v>
      </c>
    </row>
    <row r="1399" spans="2:3">
      <c r="B1399" s="197">
        <v>44235</v>
      </c>
      <c r="C1399" s="198">
        <v>21447.64</v>
      </c>
    </row>
    <row r="1400" spans="2:3">
      <c r="B1400" s="197">
        <v>44232</v>
      </c>
      <c r="C1400" s="198">
        <v>21175.89</v>
      </c>
    </row>
    <row r="1401" spans="2:3">
      <c r="B1401" s="197">
        <v>44231</v>
      </c>
      <c r="C1401" s="198">
        <v>21135.31</v>
      </c>
    </row>
    <row r="1402" spans="2:3">
      <c r="B1402" s="197">
        <v>44230</v>
      </c>
      <c r="C1402" s="198">
        <v>20985.32</v>
      </c>
    </row>
    <row r="1403" spans="2:3">
      <c r="B1403" s="197">
        <v>44229</v>
      </c>
      <c r="C1403" s="198">
        <v>20783.689999999999</v>
      </c>
    </row>
    <row r="1404" spans="2:3">
      <c r="B1404" s="197">
        <v>44228</v>
      </c>
      <c r="C1404" s="198">
        <v>20263.439999999999</v>
      </c>
    </row>
    <row r="1405" spans="2:3">
      <c r="B1405" s="197">
        <v>44225</v>
      </c>
      <c r="C1405" s="198">
        <v>19346.03</v>
      </c>
    </row>
    <row r="1406" spans="2:3">
      <c r="B1406" s="197">
        <v>44224</v>
      </c>
      <c r="C1406" s="198">
        <v>19605.59</v>
      </c>
    </row>
    <row r="1407" spans="2:3">
      <c r="B1407" s="197">
        <v>44223</v>
      </c>
      <c r="C1407" s="198">
        <v>19818.34</v>
      </c>
    </row>
    <row r="1408" spans="2:3">
      <c r="B1408" s="197">
        <v>44221</v>
      </c>
      <c r="C1408" s="198">
        <v>20201.900000000001</v>
      </c>
    </row>
    <row r="1409" spans="2:3">
      <c r="B1409" s="197">
        <v>44218</v>
      </c>
      <c r="C1409" s="198">
        <v>20390.57</v>
      </c>
    </row>
    <row r="1410" spans="2:3">
      <c r="B1410" s="197">
        <v>44217</v>
      </c>
      <c r="C1410" s="198">
        <v>20700.02</v>
      </c>
    </row>
    <row r="1411" spans="2:3">
      <c r="B1411" s="197">
        <v>44216</v>
      </c>
      <c r="C1411" s="198">
        <v>20775.669999999998</v>
      </c>
    </row>
    <row r="1412" spans="2:3">
      <c r="B1412" s="197">
        <v>44215</v>
      </c>
      <c r="C1412" s="198">
        <v>20600.41</v>
      </c>
    </row>
    <row r="1413" spans="2:3">
      <c r="B1413" s="197">
        <v>44214</v>
      </c>
      <c r="C1413" s="198">
        <v>20260.18</v>
      </c>
    </row>
    <row r="1414" spans="2:3">
      <c r="B1414" s="197">
        <v>44211</v>
      </c>
      <c r="C1414" s="198">
        <v>20476.38</v>
      </c>
    </row>
    <row r="1415" spans="2:3">
      <c r="B1415" s="197">
        <v>44210</v>
      </c>
      <c r="C1415" s="198">
        <v>20706.07</v>
      </c>
    </row>
    <row r="1416" spans="2:3">
      <c r="B1416" s="197">
        <v>44209</v>
      </c>
      <c r="C1416" s="198">
        <v>20660.349999999999</v>
      </c>
    </row>
    <row r="1417" spans="2:3">
      <c r="B1417" s="197">
        <v>44208</v>
      </c>
      <c r="C1417" s="198">
        <v>20658.34</v>
      </c>
    </row>
    <row r="1418" spans="2:3">
      <c r="B1418" s="197">
        <v>44207</v>
      </c>
      <c r="C1418" s="198">
        <v>20546.740000000002</v>
      </c>
    </row>
    <row r="1419" spans="2:3">
      <c r="B1419" s="197">
        <v>44204</v>
      </c>
      <c r="C1419" s="198">
        <v>20351.669999999998</v>
      </c>
    </row>
    <row r="1420" spans="2:3">
      <c r="B1420" s="197">
        <v>44203</v>
      </c>
      <c r="C1420" s="198">
        <v>20053.97</v>
      </c>
    </row>
    <row r="1421" spans="2:3">
      <c r="B1421" s="197">
        <v>44202</v>
      </c>
      <c r="C1421" s="198">
        <v>20066.560000000001</v>
      </c>
    </row>
    <row r="1422" spans="2:3">
      <c r="B1422" s="197">
        <v>44201</v>
      </c>
      <c r="C1422" s="198">
        <v>20142.13</v>
      </c>
    </row>
    <row r="1423" spans="2:3">
      <c r="B1423" s="197">
        <v>44200</v>
      </c>
      <c r="C1423" s="198">
        <v>20047.61</v>
      </c>
    </row>
    <row r="1424" spans="2:3">
      <c r="B1424" s="197">
        <v>44197</v>
      </c>
      <c r="C1424" s="198">
        <v>19885.36</v>
      </c>
    </row>
    <row r="1425" spans="2:3">
      <c r="B1425" s="197">
        <v>44196</v>
      </c>
      <c r="C1425" s="198">
        <v>19833.189999999999</v>
      </c>
    </row>
    <row r="1426" spans="2:3">
      <c r="B1426" s="197">
        <v>44195</v>
      </c>
      <c r="C1426" s="198">
        <v>19833.53</v>
      </c>
    </row>
    <row r="1427" spans="2:3">
      <c r="B1427" s="197">
        <v>44194</v>
      </c>
      <c r="C1427" s="198">
        <v>19763.509999999998</v>
      </c>
    </row>
    <row r="1428" spans="2:3">
      <c r="B1428" s="197">
        <v>44193</v>
      </c>
      <c r="C1428" s="198">
        <v>19679.240000000002</v>
      </c>
    </row>
    <row r="1429" spans="2:3">
      <c r="B1429" s="197">
        <v>44189</v>
      </c>
      <c r="C1429" s="198">
        <v>19503.400000000001</v>
      </c>
    </row>
    <row r="1430" spans="2:3">
      <c r="B1430" s="197">
        <v>44188</v>
      </c>
      <c r="C1430" s="198">
        <v>19293.259999999998</v>
      </c>
    </row>
    <row r="1431" spans="2:3">
      <c r="B1431" s="197">
        <v>44187</v>
      </c>
      <c r="C1431" s="198">
        <v>19102.060000000001</v>
      </c>
    </row>
    <row r="1432" spans="2:3">
      <c r="B1432" s="197">
        <v>44186</v>
      </c>
      <c r="C1432" s="198">
        <v>18906.45</v>
      </c>
    </row>
    <row r="1433" spans="2:3">
      <c r="B1433" s="197">
        <v>44183</v>
      </c>
      <c r="C1433" s="198">
        <v>19519.419999999998</v>
      </c>
    </row>
    <row r="1434" spans="2:3">
      <c r="B1434" s="197">
        <v>44182</v>
      </c>
      <c r="C1434" s="198">
        <v>19491.3</v>
      </c>
    </row>
    <row r="1435" spans="2:3">
      <c r="B1435" s="197">
        <v>44181</v>
      </c>
      <c r="C1435" s="198">
        <v>19404.8</v>
      </c>
    </row>
    <row r="1436" spans="2:3">
      <c r="B1436" s="197">
        <v>44180</v>
      </c>
      <c r="C1436" s="198">
        <v>19241.900000000001</v>
      </c>
    </row>
    <row r="1437" spans="2:3">
      <c r="B1437" s="197">
        <v>44179</v>
      </c>
      <c r="C1437" s="198">
        <v>19228.16</v>
      </c>
    </row>
    <row r="1438" spans="2:3">
      <c r="B1438" s="197">
        <v>44176</v>
      </c>
      <c r="C1438" s="198">
        <v>19165.330000000002</v>
      </c>
    </row>
    <row r="1439" spans="2:3">
      <c r="B1439" s="197">
        <v>44175</v>
      </c>
      <c r="C1439" s="198">
        <v>19114.96</v>
      </c>
    </row>
    <row r="1440" spans="2:3">
      <c r="B1440" s="197">
        <v>44174</v>
      </c>
      <c r="C1440" s="198">
        <v>19186.95</v>
      </c>
    </row>
    <row r="1441" spans="2:3">
      <c r="B1441" s="197">
        <v>44173</v>
      </c>
      <c r="C1441" s="198">
        <v>18993.86</v>
      </c>
    </row>
    <row r="1442" spans="2:3">
      <c r="B1442" s="197">
        <v>44172</v>
      </c>
      <c r="C1442" s="198">
        <v>18941.150000000001</v>
      </c>
    </row>
    <row r="1443" spans="2:3">
      <c r="B1443" s="197">
        <v>44169</v>
      </c>
      <c r="C1443" s="198">
        <v>18803.27</v>
      </c>
    </row>
    <row r="1444" spans="2:3">
      <c r="B1444" s="197">
        <v>44168</v>
      </c>
      <c r="C1444" s="198">
        <v>18626.53</v>
      </c>
    </row>
    <row r="1445" spans="2:3">
      <c r="B1445" s="197">
        <v>44167</v>
      </c>
      <c r="C1445" s="198">
        <v>18597.900000000001</v>
      </c>
    </row>
    <row r="1446" spans="2:3">
      <c r="B1446" s="197">
        <v>44166</v>
      </c>
      <c r="C1446" s="198">
        <v>18591.25</v>
      </c>
    </row>
    <row r="1447" spans="2:3">
      <c r="B1447" s="197">
        <v>44162</v>
      </c>
      <c r="C1447" s="198">
        <v>18392.54</v>
      </c>
    </row>
    <row r="1448" spans="2:3">
      <c r="B1448" s="197">
        <v>44161</v>
      </c>
      <c r="C1448" s="198">
        <v>18418.16</v>
      </c>
    </row>
    <row r="1449" spans="2:3">
      <c r="B1449" s="197">
        <v>44160</v>
      </c>
      <c r="C1449" s="198">
        <v>18235.759999999998</v>
      </c>
    </row>
    <row r="1450" spans="2:3">
      <c r="B1450" s="197">
        <v>44159</v>
      </c>
      <c r="C1450" s="198">
        <v>18514.82</v>
      </c>
    </row>
    <row r="1451" spans="2:3">
      <c r="B1451" s="197">
        <v>44158</v>
      </c>
      <c r="C1451" s="198">
        <v>18332.330000000002</v>
      </c>
    </row>
    <row r="1452" spans="2:3">
      <c r="B1452" s="197">
        <v>44155</v>
      </c>
      <c r="C1452" s="198">
        <v>18236.68</v>
      </c>
    </row>
    <row r="1453" spans="2:3">
      <c r="B1453" s="197">
        <v>44154</v>
      </c>
      <c r="C1453" s="198">
        <v>18112.830000000002</v>
      </c>
    </row>
    <row r="1454" spans="2:3">
      <c r="B1454" s="197">
        <v>44153</v>
      </c>
      <c r="C1454" s="198">
        <v>18349.02</v>
      </c>
    </row>
    <row r="1455" spans="2:3">
      <c r="B1455" s="197">
        <v>44152</v>
      </c>
      <c r="C1455" s="198">
        <v>18258.23</v>
      </c>
    </row>
    <row r="1456" spans="2:3">
      <c r="B1456" s="197">
        <v>44148</v>
      </c>
      <c r="C1456" s="198">
        <v>18039.439999999999</v>
      </c>
    </row>
    <row r="1457" spans="2:3">
      <c r="B1457" s="197">
        <v>44147</v>
      </c>
      <c r="C1457" s="198">
        <v>17998.11</v>
      </c>
    </row>
    <row r="1458" spans="2:3">
      <c r="B1458" s="197">
        <v>44146</v>
      </c>
      <c r="C1458" s="198">
        <v>18080.84</v>
      </c>
    </row>
    <row r="1459" spans="2:3">
      <c r="B1459" s="197">
        <v>44145</v>
      </c>
      <c r="C1459" s="198">
        <v>17913.400000000001</v>
      </c>
    </row>
    <row r="1460" spans="2:3">
      <c r="B1460" s="197">
        <v>44144</v>
      </c>
      <c r="C1460" s="198">
        <v>17672.25</v>
      </c>
    </row>
    <row r="1461" spans="2:3">
      <c r="B1461" s="197">
        <v>44141</v>
      </c>
      <c r="C1461" s="198">
        <v>17392.14</v>
      </c>
    </row>
    <row r="1462" spans="2:3">
      <c r="B1462" s="197">
        <v>44140</v>
      </c>
      <c r="C1462" s="198">
        <v>17189.03</v>
      </c>
    </row>
    <row r="1463" spans="2:3">
      <c r="B1463" s="197">
        <v>44139</v>
      </c>
      <c r="C1463" s="198">
        <v>16888.650000000001</v>
      </c>
    </row>
    <row r="1464" spans="2:3">
      <c r="B1464" s="197">
        <v>44138</v>
      </c>
      <c r="C1464" s="198">
        <v>16746.75</v>
      </c>
    </row>
    <row r="1465" spans="2:3">
      <c r="B1465" s="197">
        <v>44137</v>
      </c>
      <c r="C1465" s="198">
        <v>16542.080000000002</v>
      </c>
    </row>
    <row r="1466" spans="2:3">
      <c r="B1466" s="197">
        <v>44134</v>
      </c>
      <c r="C1466" s="198">
        <v>16504.16</v>
      </c>
    </row>
    <row r="1467" spans="2:3">
      <c r="B1467" s="197">
        <v>44133</v>
      </c>
      <c r="C1467" s="198">
        <v>16544.45</v>
      </c>
    </row>
    <row r="1468" spans="2:3">
      <c r="B1468" s="197">
        <v>44132</v>
      </c>
      <c r="C1468" s="198">
        <v>16623.13</v>
      </c>
    </row>
    <row r="1469" spans="2:3">
      <c r="B1469" s="197">
        <v>44131</v>
      </c>
      <c r="C1469" s="198">
        <v>16844.96</v>
      </c>
    </row>
    <row r="1470" spans="2:3">
      <c r="B1470" s="197">
        <v>44130</v>
      </c>
      <c r="C1470" s="198">
        <v>16672.62</v>
      </c>
    </row>
    <row r="1471" spans="2:3">
      <c r="B1471" s="197">
        <v>44127</v>
      </c>
      <c r="C1471" s="198">
        <v>16902.96</v>
      </c>
    </row>
    <row r="1472" spans="2:3">
      <c r="B1472" s="197">
        <v>44126</v>
      </c>
      <c r="C1472" s="198">
        <v>16840.52</v>
      </c>
    </row>
    <row r="1473" spans="2:3">
      <c r="B1473" s="197">
        <v>44125</v>
      </c>
      <c r="C1473" s="198">
        <v>16897.43</v>
      </c>
    </row>
    <row r="1474" spans="2:3">
      <c r="B1474" s="197">
        <v>44124</v>
      </c>
      <c r="C1474" s="198">
        <v>16839.599999999999</v>
      </c>
    </row>
    <row r="1475" spans="2:3">
      <c r="B1475" s="197">
        <v>44123</v>
      </c>
      <c r="C1475" s="198">
        <v>16805.97</v>
      </c>
    </row>
    <row r="1476" spans="2:3">
      <c r="B1476" s="197">
        <v>44120</v>
      </c>
      <c r="C1476" s="198">
        <v>16649.46</v>
      </c>
    </row>
    <row r="1477" spans="2:3">
      <c r="B1477" s="197">
        <v>44119</v>
      </c>
      <c r="C1477" s="198">
        <v>16533.240000000002</v>
      </c>
    </row>
    <row r="1478" spans="2:3">
      <c r="B1478" s="197">
        <v>44118</v>
      </c>
      <c r="C1478" s="198">
        <v>16944.73</v>
      </c>
    </row>
    <row r="1479" spans="2:3">
      <c r="B1479" s="197">
        <v>44117</v>
      </c>
      <c r="C1479" s="198">
        <v>16888.87</v>
      </c>
    </row>
    <row r="1480" spans="2:3">
      <c r="B1480" s="197">
        <v>44116</v>
      </c>
      <c r="C1480" s="198">
        <v>16883.84</v>
      </c>
    </row>
    <row r="1481" spans="2:3">
      <c r="B1481" s="197">
        <v>44113</v>
      </c>
      <c r="C1481" s="198">
        <v>16860.11</v>
      </c>
    </row>
    <row r="1482" spans="2:3">
      <c r="B1482" s="197">
        <v>44112</v>
      </c>
      <c r="C1482" s="198">
        <v>16747.48</v>
      </c>
    </row>
    <row r="1483" spans="2:3">
      <c r="B1483" s="197">
        <v>44111</v>
      </c>
      <c r="C1483" s="198">
        <v>16611.96</v>
      </c>
    </row>
    <row r="1484" spans="2:3">
      <c r="B1484" s="197">
        <v>44110</v>
      </c>
      <c r="C1484" s="198">
        <v>16503.77</v>
      </c>
    </row>
    <row r="1485" spans="2:3">
      <c r="B1485" s="197">
        <v>44109</v>
      </c>
      <c r="C1485" s="198">
        <v>16278.72</v>
      </c>
    </row>
    <row r="1486" spans="2:3">
      <c r="B1486" s="197">
        <v>44105</v>
      </c>
      <c r="C1486" s="198">
        <v>16156.44</v>
      </c>
    </row>
    <row r="1487" spans="2:3">
      <c r="B1487" s="197">
        <v>44104</v>
      </c>
      <c r="C1487" s="198">
        <v>15916.72</v>
      </c>
    </row>
    <row r="1488" spans="2:3">
      <c r="B1488" s="197">
        <v>44103</v>
      </c>
      <c r="C1488" s="198">
        <v>15881.16</v>
      </c>
    </row>
    <row r="1489" spans="2:3">
      <c r="B1489" s="197">
        <v>44102</v>
      </c>
      <c r="C1489" s="198">
        <v>15888.44</v>
      </c>
    </row>
    <row r="1490" spans="2:3">
      <c r="B1490" s="197">
        <v>44099</v>
      </c>
      <c r="C1490" s="198">
        <v>15637.53</v>
      </c>
    </row>
    <row r="1491" spans="2:3">
      <c r="B1491" s="197">
        <v>44098</v>
      </c>
      <c r="C1491" s="198">
        <v>15291.25</v>
      </c>
    </row>
    <row r="1492" spans="2:3">
      <c r="B1492" s="197">
        <v>44097</v>
      </c>
      <c r="C1492" s="198">
        <v>15752.97</v>
      </c>
    </row>
    <row r="1493" spans="2:3">
      <c r="B1493" s="197">
        <v>44096</v>
      </c>
      <c r="C1493" s="198">
        <v>15783.87</v>
      </c>
    </row>
    <row r="1494" spans="2:3">
      <c r="B1494" s="197">
        <v>44095</v>
      </c>
      <c r="C1494" s="198">
        <v>15920.99</v>
      </c>
    </row>
    <row r="1495" spans="2:3">
      <c r="B1495" s="197">
        <v>44092</v>
      </c>
      <c r="C1495" s="198">
        <v>16281</v>
      </c>
    </row>
    <row r="1496" spans="2:3">
      <c r="B1496" s="197">
        <v>44091</v>
      </c>
      <c r="C1496" s="198">
        <v>16296.78</v>
      </c>
    </row>
    <row r="1497" spans="2:3">
      <c r="B1497" s="197">
        <v>44090</v>
      </c>
      <c r="C1497" s="198">
        <v>16421.95</v>
      </c>
    </row>
    <row r="1498" spans="2:3">
      <c r="B1498" s="197">
        <v>44089</v>
      </c>
      <c r="C1498" s="198">
        <v>16304.84</v>
      </c>
    </row>
    <row r="1499" spans="2:3">
      <c r="B1499" s="197">
        <v>44088</v>
      </c>
      <c r="C1499" s="198">
        <v>16189.14</v>
      </c>
    </row>
    <row r="1500" spans="2:3">
      <c r="B1500" s="197">
        <v>44085</v>
      </c>
      <c r="C1500" s="198">
        <v>16222.92</v>
      </c>
    </row>
    <row r="1501" spans="2:3">
      <c r="B1501" s="197">
        <v>44084</v>
      </c>
      <c r="C1501" s="198">
        <v>16201.44</v>
      </c>
    </row>
    <row r="1502" spans="2:3">
      <c r="B1502" s="197">
        <v>44083</v>
      </c>
      <c r="C1502" s="198">
        <v>15958.99</v>
      </c>
    </row>
    <row r="1503" spans="2:3">
      <c r="B1503" s="197">
        <v>44082</v>
      </c>
      <c r="C1503" s="198">
        <v>16014.67</v>
      </c>
    </row>
    <row r="1504" spans="2:3">
      <c r="B1504" s="197">
        <v>44081</v>
      </c>
      <c r="C1504" s="198">
        <v>16068.06</v>
      </c>
    </row>
    <row r="1505" spans="2:3">
      <c r="B1505" s="197">
        <v>44078</v>
      </c>
      <c r="C1505" s="198">
        <v>16038.07</v>
      </c>
    </row>
    <row r="1506" spans="2:3">
      <c r="B1506" s="197">
        <v>44077</v>
      </c>
      <c r="C1506" s="198">
        <v>16311.99</v>
      </c>
    </row>
    <row r="1507" spans="2:3">
      <c r="B1507" s="197">
        <v>44076</v>
      </c>
      <c r="C1507" s="198">
        <v>16322.17</v>
      </c>
    </row>
    <row r="1508" spans="2:3">
      <c r="B1508" s="197">
        <v>44075</v>
      </c>
      <c r="C1508" s="198">
        <v>16227.14</v>
      </c>
    </row>
    <row r="1509" spans="2:3">
      <c r="B1509" s="197">
        <v>44074</v>
      </c>
      <c r="C1509" s="198">
        <v>16110.07</v>
      </c>
    </row>
    <row r="1510" spans="2:3">
      <c r="B1510" s="197">
        <v>44071</v>
      </c>
      <c r="C1510" s="198">
        <v>16478.009999999998</v>
      </c>
    </row>
    <row r="1511" spans="2:3">
      <c r="B1511" s="197">
        <v>44070</v>
      </c>
      <c r="C1511" s="198">
        <v>16353.08</v>
      </c>
    </row>
    <row r="1512" spans="2:3">
      <c r="B1512" s="197">
        <v>44069</v>
      </c>
      <c r="C1512" s="198">
        <v>16339.41</v>
      </c>
    </row>
    <row r="1513" spans="2:3">
      <c r="B1513" s="197">
        <v>44068</v>
      </c>
      <c r="C1513" s="198">
        <v>16226.2</v>
      </c>
    </row>
    <row r="1514" spans="2:3">
      <c r="B1514" s="197">
        <v>44067</v>
      </c>
      <c r="C1514" s="198">
        <v>16218.02</v>
      </c>
    </row>
    <row r="1515" spans="2:3">
      <c r="B1515" s="197">
        <v>44064</v>
      </c>
      <c r="C1515" s="198">
        <v>16083.84</v>
      </c>
    </row>
    <row r="1516" spans="2:3">
      <c r="B1516" s="197">
        <v>44063</v>
      </c>
      <c r="C1516" s="198">
        <v>15999.86</v>
      </c>
    </row>
    <row r="1517" spans="2:3">
      <c r="B1517" s="197">
        <v>44062</v>
      </c>
      <c r="C1517" s="198">
        <v>16135.89</v>
      </c>
    </row>
    <row r="1518" spans="2:3">
      <c r="B1518" s="197">
        <v>44061</v>
      </c>
      <c r="C1518" s="198">
        <v>16101.86</v>
      </c>
    </row>
    <row r="1519" spans="2:3">
      <c r="B1519" s="197">
        <v>44060</v>
      </c>
      <c r="C1519" s="198">
        <v>15906.29</v>
      </c>
    </row>
    <row r="1520" spans="2:3">
      <c r="B1520" s="197">
        <v>44057</v>
      </c>
      <c r="C1520" s="198">
        <v>15809.17</v>
      </c>
    </row>
    <row r="1521" spans="2:3">
      <c r="B1521" s="197">
        <v>44056</v>
      </c>
      <c r="C1521" s="198">
        <v>15981.73</v>
      </c>
    </row>
    <row r="1522" spans="2:3">
      <c r="B1522" s="197">
        <v>44055</v>
      </c>
      <c r="C1522" s="198">
        <v>15986.03</v>
      </c>
    </row>
    <row r="1523" spans="2:3">
      <c r="B1523" s="197">
        <v>44054</v>
      </c>
      <c r="C1523" s="198">
        <v>16005.99</v>
      </c>
    </row>
    <row r="1524" spans="2:3">
      <c r="B1524" s="197">
        <v>44053</v>
      </c>
      <c r="C1524" s="198">
        <v>15931.97</v>
      </c>
    </row>
    <row r="1525" spans="2:3">
      <c r="B1525" s="197">
        <v>44050</v>
      </c>
      <c r="C1525" s="198">
        <v>15852.65</v>
      </c>
    </row>
    <row r="1526" spans="2:3">
      <c r="B1526" s="197">
        <v>44049</v>
      </c>
      <c r="C1526" s="198">
        <v>15833.02</v>
      </c>
    </row>
    <row r="1527" spans="2:3">
      <c r="B1527" s="197">
        <v>44048</v>
      </c>
      <c r="C1527" s="198">
        <v>15689.69</v>
      </c>
    </row>
    <row r="1528" spans="2:3">
      <c r="B1528" s="197">
        <v>44047</v>
      </c>
      <c r="C1528" s="198">
        <v>15676.74</v>
      </c>
    </row>
    <row r="1529" spans="2:3">
      <c r="B1529" s="197">
        <v>44046</v>
      </c>
      <c r="C1529" s="198">
        <v>15388.98</v>
      </c>
    </row>
    <row r="1530" spans="2:3">
      <c r="B1530" s="197">
        <v>44043</v>
      </c>
      <c r="C1530" s="198">
        <v>15645.34</v>
      </c>
    </row>
    <row r="1531" spans="2:3">
      <c r="B1531" s="197">
        <v>44042</v>
      </c>
      <c r="C1531" s="198">
        <v>15685.92</v>
      </c>
    </row>
    <row r="1532" spans="2:3">
      <c r="B1532" s="197">
        <v>44041</v>
      </c>
      <c r="C1532" s="198">
        <v>15824.19</v>
      </c>
    </row>
    <row r="1533" spans="2:3">
      <c r="B1533" s="197">
        <v>44040</v>
      </c>
      <c r="C1533" s="198">
        <v>15961.7</v>
      </c>
    </row>
    <row r="1534" spans="2:3">
      <c r="B1534" s="197">
        <v>44039</v>
      </c>
      <c r="C1534" s="198">
        <v>15723.39</v>
      </c>
    </row>
    <row r="1535" spans="2:3">
      <c r="B1535" s="197">
        <v>44036</v>
      </c>
      <c r="C1535" s="198">
        <v>15811.4</v>
      </c>
    </row>
    <row r="1536" spans="2:3">
      <c r="B1536" s="197">
        <v>44035</v>
      </c>
      <c r="C1536" s="198">
        <v>15841.48</v>
      </c>
    </row>
    <row r="1537" spans="2:3">
      <c r="B1537" s="197">
        <v>44034</v>
      </c>
      <c r="C1537" s="198">
        <v>15722.51</v>
      </c>
    </row>
    <row r="1538" spans="2:3">
      <c r="B1538" s="197">
        <v>44033</v>
      </c>
      <c r="C1538" s="198">
        <v>15764.41</v>
      </c>
    </row>
    <row r="1539" spans="2:3">
      <c r="B1539" s="197">
        <v>44032</v>
      </c>
      <c r="C1539" s="198">
        <v>15566.56</v>
      </c>
    </row>
    <row r="1540" spans="2:3">
      <c r="B1540" s="197">
        <v>44029</v>
      </c>
      <c r="C1540" s="198">
        <v>15396.44</v>
      </c>
    </row>
    <row r="1541" spans="2:3">
      <c r="B1541" s="197">
        <v>44028</v>
      </c>
      <c r="C1541" s="198">
        <v>15167.99</v>
      </c>
    </row>
    <row r="1542" spans="2:3">
      <c r="B1542" s="197">
        <v>44027</v>
      </c>
      <c r="C1542" s="198">
        <v>14993.52</v>
      </c>
    </row>
    <row r="1543" spans="2:3">
      <c r="B1543" s="197">
        <v>44026</v>
      </c>
      <c r="C1543" s="198">
        <v>14978.23</v>
      </c>
    </row>
    <row r="1544" spans="2:3">
      <c r="B1544" s="197">
        <v>44025</v>
      </c>
      <c r="C1544" s="198">
        <v>15254.09</v>
      </c>
    </row>
    <row r="1545" spans="2:3">
      <c r="B1545" s="197">
        <v>44022</v>
      </c>
      <c r="C1545" s="198">
        <v>15204.13</v>
      </c>
    </row>
    <row r="1546" spans="2:3">
      <c r="B1546" s="197">
        <v>44021</v>
      </c>
      <c r="C1546" s="198">
        <v>15268.19</v>
      </c>
    </row>
    <row r="1547" spans="2:3">
      <c r="B1547" s="197">
        <v>44020</v>
      </c>
      <c r="C1547" s="198">
        <v>15104.09</v>
      </c>
    </row>
    <row r="1548" spans="2:3">
      <c r="B1548" s="197">
        <v>44019</v>
      </c>
      <c r="C1548" s="198">
        <v>15236.58</v>
      </c>
    </row>
    <row r="1549" spans="2:3">
      <c r="B1549" s="197">
        <v>44018</v>
      </c>
      <c r="C1549" s="198">
        <v>15185.78</v>
      </c>
    </row>
    <row r="1550" spans="2:3">
      <c r="B1550" s="197">
        <v>44015</v>
      </c>
      <c r="C1550" s="198">
        <v>14964.59</v>
      </c>
    </row>
    <row r="1551" spans="2:3">
      <c r="B1551" s="197">
        <v>44014</v>
      </c>
      <c r="C1551" s="198">
        <v>14886.06</v>
      </c>
    </row>
    <row r="1552" spans="2:3">
      <c r="B1552" s="197">
        <v>44013</v>
      </c>
      <c r="C1552" s="198">
        <v>14707.64</v>
      </c>
    </row>
    <row r="1553" spans="2:3">
      <c r="B1553" s="197">
        <v>44012</v>
      </c>
      <c r="C1553" s="198">
        <v>14527.18</v>
      </c>
    </row>
    <row r="1554" spans="2:3">
      <c r="B1554" s="197">
        <v>44011</v>
      </c>
      <c r="C1554" s="198">
        <v>14541.76</v>
      </c>
    </row>
    <row r="1555" spans="2:3">
      <c r="B1555" s="197">
        <v>44008</v>
      </c>
      <c r="C1555" s="198">
        <v>14641.26</v>
      </c>
    </row>
    <row r="1556" spans="2:3">
      <c r="B1556" s="197">
        <v>44007</v>
      </c>
      <c r="C1556" s="198">
        <v>14508.61</v>
      </c>
    </row>
    <row r="1557" spans="2:3">
      <c r="B1557" s="197">
        <v>44006</v>
      </c>
      <c r="C1557" s="198">
        <v>14531.72</v>
      </c>
    </row>
    <row r="1558" spans="2:3">
      <c r="B1558" s="197">
        <v>44005</v>
      </c>
      <c r="C1558" s="198">
        <v>14765.36</v>
      </c>
    </row>
    <row r="1559" spans="2:3">
      <c r="B1559" s="197">
        <v>44004</v>
      </c>
      <c r="C1559" s="198">
        <v>14540.07</v>
      </c>
    </row>
    <row r="1560" spans="2:3">
      <c r="B1560" s="197">
        <v>44001</v>
      </c>
      <c r="C1560" s="198">
        <v>14445.87</v>
      </c>
    </row>
    <row r="1561" spans="2:3">
      <c r="B1561" s="197">
        <v>44000</v>
      </c>
      <c r="C1561" s="198">
        <v>14227.14</v>
      </c>
    </row>
    <row r="1562" spans="2:3">
      <c r="B1562" s="197">
        <v>43999</v>
      </c>
      <c r="C1562" s="198">
        <v>13930.35</v>
      </c>
    </row>
    <row r="1563" spans="2:3">
      <c r="B1563" s="197">
        <v>43998</v>
      </c>
      <c r="C1563" s="198">
        <v>13976.63</v>
      </c>
    </row>
    <row r="1564" spans="2:3">
      <c r="B1564" s="197">
        <v>43997</v>
      </c>
      <c r="C1564" s="198">
        <v>13835.27</v>
      </c>
    </row>
    <row r="1565" spans="2:3">
      <c r="B1565" s="197">
        <v>43994</v>
      </c>
      <c r="C1565" s="198">
        <v>14059.69</v>
      </c>
    </row>
    <row r="1566" spans="2:3">
      <c r="B1566" s="197">
        <v>43993</v>
      </c>
      <c r="C1566" s="198">
        <v>13959.73</v>
      </c>
    </row>
    <row r="1567" spans="2:3">
      <c r="B1567" s="197">
        <v>43992</v>
      </c>
      <c r="C1567" s="198">
        <v>14260.91</v>
      </c>
    </row>
    <row r="1568" spans="2:3">
      <c r="B1568" s="197">
        <v>43991</v>
      </c>
      <c r="C1568" s="198">
        <v>14162.9</v>
      </c>
    </row>
    <row r="1569" spans="2:3">
      <c r="B1569" s="197">
        <v>43990</v>
      </c>
      <c r="C1569" s="198">
        <v>14333.2</v>
      </c>
    </row>
    <row r="1570" spans="2:3">
      <c r="B1570" s="197">
        <v>43987</v>
      </c>
      <c r="C1570" s="198">
        <v>14297.55</v>
      </c>
    </row>
    <row r="1571" spans="2:3">
      <c r="B1571" s="197">
        <v>43986</v>
      </c>
      <c r="C1571" s="198">
        <v>14138.19</v>
      </c>
    </row>
    <row r="1572" spans="2:3">
      <c r="B1572" s="197">
        <v>43985</v>
      </c>
      <c r="C1572" s="198">
        <v>14183.95</v>
      </c>
    </row>
    <row r="1573" spans="2:3">
      <c r="B1573" s="197">
        <v>43984</v>
      </c>
      <c r="C1573" s="198">
        <v>14065.56</v>
      </c>
    </row>
    <row r="1574" spans="2:3">
      <c r="B1574" s="197">
        <v>43983</v>
      </c>
      <c r="C1574" s="198">
        <v>13850</v>
      </c>
    </row>
    <row r="1575" spans="2:3">
      <c r="B1575" s="197">
        <v>43980</v>
      </c>
      <c r="C1575" s="198">
        <v>13503.45</v>
      </c>
    </row>
    <row r="1576" spans="2:3">
      <c r="B1576" s="197">
        <v>43979</v>
      </c>
      <c r="C1576" s="198">
        <v>13364.65</v>
      </c>
    </row>
    <row r="1577" spans="2:3">
      <c r="B1577" s="197">
        <v>43978</v>
      </c>
      <c r="C1577" s="198">
        <v>13117.99</v>
      </c>
    </row>
    <row r="1578" spans="2:3">
      <c r="B1578" s="197">
        <v>43977</v>
      </c>
      <c r="C1578" s="198">
        <v>12715.39</v>
      </c>
    </row>
    <row r="1579" spans="2:3">
      <c r="B1579" s="197">
        <v>43973</v>
      </c>
      <c r="C1579" s="198">
        <v>12729.74</v>
      </c>
    </row>
    <row r="1580" spans="2:3">
      <c r="B1580" s="197">
        <v>43972</v>
      </c>
      <c r="C1580" s="198">
        <v>12824.12</v>
      </c>
    </row>
    <row r="1581" spans="2:3">
      <c r="B1581" s="197">
        <v>43971</v>
      </c>
      <c r="C1581" s="198">
        <v>12768.2</v>
      </c>
    </row>
    <row r="1582" spans="2:3">
      <c r="B1582" s="197">
        <v>43970</v>
      </c>
      <c r="C1582" s="198">
        <v>12504.22</v>
      </c>
    </row>
    <row r="1583" spans="2:3">
      <c r="B1583" s="197">
        <v>43969</v>
      </c>
      <c r="C1583" s="198">
        <v>12425.57</v>
      </c>
    </row>
    <row r="1584" spans="2:3">
      <c r="B1584" s="197">
        <v>43966</v>
      </c>
      <c r="C1584" s="198">
        <v>12867.16</v>
      </c>
    </row>
    <row r="1585" spans="2:3">
      <c r="B1585" s="197">
        <v>43965</v>
      </c>
      <c r="C1585" s="198">
        <v>12875.51</v>
      </c>
    </row>
    <row r="1586" spans="2:3">
      <c r="B1586" s="197">
        <v>43964</v>
      </c>
      <c r="C1586" s="198">
        <v>13214.58</v>
      </c>
    </row>
    <row r="1587" spans="2:3">
      <c r="B1587" s="197">
        <v>43963</v>
      </c>
      <c r="C1587" s="198">
        <v>12951.29</v>
      </c>
    </row>
    <row r="1588" spans="2:3">
      <c r="B1588" s="197">
        <v>43962</v>
      </c>
      <c r="C1588" s="198">
        <v>13011.35</v>
      </c>
    </row>
    <row r="1589" spans="2:3">
      <c r="B1589" s="197">
        <v>43959</v>
      </c>
      <c r="C1589" s="198">
        <v>13028.62</v>
      </c>
    </row>
    <row r="1590" spans="2:3">
      <c r="B1590" s="197">
        <v>43958</v>
      </c>
      <c r="C1590" s="198">
        <v>12954.81</v>
      </c>
    </row>
    <row r="1591" spans="2:3">
      <c r="B1591" s="197">
        <v>43957</v>
      </c>
      <c r="C1591" s="198">
        <v>13055.99</v>
      </c>
    </row>
    <row r="1592" spans="2:3">
      <c r="B1592" s="197">
        <v>43956</v>
      </c>
      <c r="C1592" s="198">
        <v>12963.99</v>
      </c>
    </row>
    <row r="1593" spans="2:3">
      <c r="B1593" s="197">
        <v>43955</v>
      </c>
      <c r="C1593" s="198">
        <v>13086.63</v>
      </c>
    </row>
    <row r="1594" spans="2:3">
      <c r="B1594" s="197">
        <v>43951</v>
      </c>
      <c r="C1594" s="198">
        <v>13884.18</v>
      </c>
    </row>
    <row r="1595" spans="2:3">
      <c r="B1595" s="197">
        <v>43950</v>
      </c>
      <c r="C1595" s="198">
        <v>13452.51</v>
      </c>
    </row>
    <row r="1596" spans="2:3">
      <c r="B1596" s="197">
        <v>43949</v>
      </c>
      <c r="C1596" s="198">
        <v>13208.29</v>
      </c>
    </row>
    <row r="1597" spans="2:3">
      <c r="B1597" s="197">
        <v>43948</v>
      </c>
      <c r="C1597" s="198">
        <v>13069.49</v>
      </c>
    </row>
    <row r="1598" spans="2:3">
      <c r="B1598" s="197">
        <v>43945</v>
      </c>
      <c r="C1598" s="198">
        <v>12889.39</v>
      </c>
    </row>
    <row r="1599" spans="2:3">
      <c r="B1599" s="197">
        <v>43944</v>
      </c>
      <c r="C1599" s="198">
        <v>13113.97</v>
      </c>
    </row>
    <row r="1600" spans="2:3">
      <c r="B1600" s="197">
        <v>43943</v>
      </c>
      <c r="C1600" s="198">
        <v>12935.73</v>
      </c>
    </row>
    <row r="1601" spans="2:3">
      <c r="B1601" s="197">
        <v>43942</v>
      </c>
      <c r="C1601" s="198">
        <v>12645.91</v>
      </c>
    </row>
    <row r="1602" spans="2:3">
      <c r="B1602" s="197">
        <v>43941</v>
      </c>
      <c r="C1602" s="198">
        <v>13040.65</v>
      </c>
    </row>
    <row r="1603" spans="2:3">
      <c r="B1603" s="197">
        <v>43938</v>
      </c>
      <c r="C1603" s="198">
        <v>13047.57</v>
      </c>
    </row>
    <row r="1604" spans="2:3">
      <c r="B1604" s="197">
        <v>43937</v>
      </c>
      <c r="C1604" s="198">
        <v>12661.83</v>
      </c>
    </row>
    <row r="1605" spans="2:3">
      <c r="B1605" s="197">
        <v>43936</v>
      </c>
      <c r="C1605" s="198">
        <v>12566.85</v>
      </c>
    </row>
    <row r="1606" spans="2:3">
      <c r="B1606" s="197">
        <v>43934</v>
      </c>
      <c r="C1606" s="198">
        <v>12663.31</v>
      </c>
    </row>
    <row r="1607" spans="2:3">
      <c r="B1607" s="197">
        <v>43930</v>
      </c>
      <c r="C1607" s="198">
        <v>12829.57</v>
      </c>
    </row>
    <row r="1608" spans="2:3">
      <c r="B1608" s="197">
        <v>43929</v>
      </c>
      <c r="C1608" s="198">
        <v>12318.25</v>
      </c>
    </row>
    <row r="1609" spans="2:3">
      <c r="B1609" s="197">
        <v>43928</v>
      </c>
      <c r="C1609" s="198">
        <v>12379.42</v>
      </c>
    </row>
    <row r="1610" spans="2:3">
      <c r="B1610" s="197">
        <v>43924</v>
      </c>
      <c r="C1610" s="198">
        <v>11382.02</v>
      </c>
    </row>
    <row r="1611" spans="2:3">
      <c r="B1611" s="197">
        <v>43922</v>
      </c>
      <c r="C1611" s="198">
        <v>11621.35</v>
      </c>
    </row>
    <row r="1612" spans="2:3">
      <c r="B1612" s="197">
        <v>43921</v>
      </c>
      <c r="C1612" s="198">
        <v>12105.66</v>
      </c>
    </row>
    <row r="1613" spans="2:3">
      <c r="B1613" s="197">
        <v>43920</v>
      </c>
      <c r="C1613" s="198">
        <v>11659.76</v>
      </c>
    </row>
    <row r="1614" spans="2:3">
      <c r="B1614" s="197">
        <v>43917</v>
      </c>
      <c r="C1614" s="198">
        <v>12193.62</v>
      </c>
    </row>
    <row r="1615" spans="2:3">
      <c r="B1615" s="197">
        <v>43916</v>
      </c>
      <c r="C1615" s="198">
        <v>12167.15</v>
      </c>
    </row>
    <row r="1616" spans="2:3">
      <c r="B1616" s="197">
        <v>43915</v>
      </c>
      <c r="C1616" s="198">
        <v>11710.71</v>
      </c>
    </row>
    <row r="1617" spans="2:3">
      <c r="B1617" s="197">
        <v>43914</v>
      </c>
      <c r="C1617" s="198">
        <v>10983.15</v>
      </c>
    </row>
    <row r="1618" spans="2:3">
      <c r="B1618" s="197">
        <v>43913</v>
      </c>
      <c r="C1618" s="198">
        <v>10710.41</v>
      </c>
    </row>
    <row r="1619" spans="2:3">
      <c r="B1619" s="197">
        <v>43910</v>
      </c>
      <c r="C1619" s="198">
        <v>12298.74</v>
      </c>
    </row>
    <row r="1620" spans="2:3">
      <c r="B1620" s="197">
        <v>43909</v>
      </c>
      <c r="C1620" s="198">
        <v>11620.92</v>
      </c>
    </row>
    <row r="1621" spans="2:3">
      <c r="B1621" s="197">
        <v>43908</v>
      </c>
      <c r="C1621" s="198">
        <v>11904.02</v>
      </c>
    </row>
    <row r="1622" spans="2:3">
      <c r="B1622" s="197">
        <v>43907</v>
      </c>
      <c r="C1622" s="198">
        <v>12604.41</v>
      </c>
    </row>
    <row r="1623" spans="2:3">
      <c r="B1623" s="197">
        <v>43906</v>
      </c>
      <c r="C1623" s="198">
        <v>12928.18</v>
      </c>
    </row>
    <row r="1624" spans="2:3">
      <c r="B1624" s="197">
        <v>43903</v>
      </c>
      <c r="C1624" s="198">
        <v>13987.31</v>
      </c>
    </row>
    <row r="1625" spans="2:3">
      <c r="B1625" s="197">
        <v>43902</v>
      </c>
      <c r="C1625" s="198">
        <v>13474.38</v>
      </c>
    </row>
    <row r="1626" spans="2:3">
      <c r="B1626" s="197">
        <v>43901</v>
      </c>
      <c r="C1626" s="198">
        <v>14694.31</v>
      </c>
    </row>
    <row r="1627" spans="2:3">
      <c r="B1627" s="197">
        <v>43899</v>
      </c>
      <c r="C1627" s="198">
        <v>14684.56</v>
      </c>
    </row>
    <row r="1628" spans="2:3">
      <c r="B1628" s="197">
        <v>43896</v>
      </c>
      <c r="C1628" s="198">
        <v>15440.48</v>
      </c>
    </row>
    <row r="1629" spans="2:3">
      <c r="B1629" s="197">
        <v>43895</v>
      </c>
      <c r="C1629" s="198">
        <v>15833.21</v>
      </c>
    </row>
    <row r="1630" spans="2:3">
      <c r="B1630" s="197">
        <v>43894</v>
      </c>
      <c r="C1630" s="198">
        <v>15805.53</v>
      </c>
    </row>
    <row r="1631" spans="2:3">
      <c r="B1631" s="197">
        <v>43893</v>
      </c>
      <c r="C1631" s="198">
        <v>15878.98</v>
      </c>
    </row>
    <row r="1632" spans="2:3">
      <c r="B1632" s="197">
        <v>43892</v>
      </c>
      <c r="C1632" s="198">
        <v>15632.14</v>
      </c>
    </row>
    <row r="1633" spans="2:3">
      <c r="B1633" s="197">
        <v>43889</v>
      </c>
      <c r="C1633" s="198">
        <v>15726.92</v>
      </c>
    </row>
    <row r="1634" spans="2:3">
      <c r="B1634" s="197">
        <v>43888</v>
      </c>
      <c r="C1634" s="198">
        <v>16332.81</v>
      </c>
    </row>
    <row r="1635" spans="2:3">
      <c r="B1635" s="197">
        <v>43887</v>
      </c>
      <c r="C1635" s="198">
        <v>16396.23</v>
      </c>
    </row>
    <row r="1636" spans="2:3">
      <c r="B1636" s="197">
        <v>43886</v>
      </c>
      <c r="C1636" s="198">
        <v>16563.91</v>
      </c>
    </row>
    <row r="1637" spans="2:3">
      <c r="B1637" s="197">
        <v>43885</v>
      </c>
      <c r="C1637" s="198">
        <v>16608.12</v>
      </c>
    </row>
    <row r="1638" spans="2:3">
      <c r="B1638" s="197">
        <v>43881</v>
      </c>
      <c r="C1638" s="198">
        <v>16961.16</v>
      </c>
    </row>
    <row r="1639" spans="2:3">
      <c r="B1639" s="197">
        <v>43880</v>
      </c>
      <c r="C1639" s="198">
        <v>17024.41</v>
      </c>
    </row>
    <row r="1640" spans="2:3">
      <c r="B1640" s="197">
        <v>43879</v>
      </c>
      <c r="C1640" s="198">
        <v>16837.080000000002</v>
      </c>
    </row>
    <row r="1641" spans="2:3">
      <c r="B1641" s="197">
        <v>43878</v>
      </c>
      <c r="C1641" s="198">
        <v>16911.919999999998</v>
      </c>
    </row>
    <row r="1642" spans="2:3">
      <c r="B1642" s="197">
        <v>43875</v>
      </c>
      <c r="C1642" s="198">
        <v>17002.89</v>
      </c>
    </row>
    <row r="1643" spans="2:3">
      <c r="B1643" s="197">
        <v>43874</v>
      </c>
      <c r="C1643" s="198">
        <v>17088.84</v>
      </c>
    </row>
    <row r="1644" spans="2:3">
      <c r="B1644" s="197">
        <v>43873</v>
      </c>
      <c r="C1644" s="198">
        <v>17126.07</v>
      </c>
    </row>
    <row r="1645" spans="2:3">
      <c r="B1645" s="197">
        <v>43872</v>
      </c>
      <c r="C1645" s="198">
        <v>16995.099999999999</v>
      </c>
    </row>
    <row r="1646" spans="2:3">
      <c r="B1646" s="197">
        <v>43871</v>
      </c>
      <c r="C1646" s="198">
        <v>16887.86</v>
      </c>
    </row>
    <row r="1647" spans="2:3">
      <c r="B1647" s="197">
        <v>43868</v>
      </c>
      <c r="C1647" s="198">
        <v>16981.75</v>
      </c>
    </row>
    <row r="1648" spans="2:3">
      <c r="B1648" s="197">
        <v>43867</v>
      </c>
      <c r="C1648" s="198">
        <v>17037.28</v>
      </c>
    </row>
    <row r="1649" spans="2:3">
      <c r="B1649" s="197">
        <v>43866</v>
      </c>
      <c r="C1649" s="198">
        <v>16968.830000000002</v>
      </c>
    </row>
    <row r="1650" spans="2:3">
      <c r="B1650" s="197">
        <v>43865</v>
      </c>
      <c r="C1650" s="198">
        <v>16815.12</v>
      </c>
    </row>
    <row r="1651" spans="2:3">
      <c r="B1651" s="197">
        <v>43864</v>
      </c>
      <c r="C1651" s="198">
        <v>16433.650000000001</v>
      </c>
    </row>
    <row r="1652" spans="2:3">
      <c r="B1652" s="197">
        <v>43862</v>
      </c>
      <c r="C1652" s="198">
        <v>16369</v>
      </c>
    </row>
    <row r="1653" spans="2:3">
      <c r="B1653" s="197">
        <v>43861</v>
      </c>
      <c r="C1653" s="198">
        <v>16790.45</v>
      </c>
    </row>
    <row r="1654" spans="2:3">
      <c r="B1654" s="197">
        <v>43860</v>
      </c>
      <c r="C1654" s="198">
        <v>16893.91</v>
      </c>
    </row>
    <row r="1655" spans="2:3">
      <c r="B1655" s="197">
        <v>43859</v>
      </c>
      <c r="C1655" s="198">
        <v>17025.46</v>
      </c>
    </row>
    <row r="1656" spans="2:3">
      <c r="B1656" s="197">
        <v>43858</v>
      </c>
      <c r="C1656" s="198">
        <v>16922.009999999998</v>
      </c>
    </row>
    <row r="1657" spans="2:3">
      <c r="B1657" s="197">
        <v>43857</v>
      </c>
      <c r="C1657" s="198">
        <v>17010.7</v>
      </c>
    </row>
    <row r="1658" spans="2:3">
      <c r="B1658" s="197">
        <v>43854</v>
      </c>
      <c r="C1658" s="198">
        <v>17192.150000000001</v>
      </c>
    </row>
    <row r="1659" spans="2:3">
      <c r="B1659" s="197">
        <v>43853</v>
      </c>
      <c r="C1659" s="198">
        <v>17095.61</v>
      </c>
    </row>
    <row r="1660" spans="2:3">
      <c r="B1660" s="197">
        <v>43852</v>
      </c>
      <c r="C1660" s="198">
        <v>16990.68</v>
      </c>
    </row>
    <row r="1661" spans="2:3">
      <c r="B1661" s="197">
        <v>43851</v>
      </c>
      <c r="C1661" s="198">
        <v>17079.07</v>
      </c>
    </row>
    <row r="1662" spans="2:3">
      <c r="B1662" s="197">
        <v>43850</v>
      </c>
      <c r="C1662" s="198">
        <v>17155.830000000002</v>
      </c>
    </row>
    <row r="1663" spans="2:3">
      <c r="B1663" s="197">
        <v>43847</v>
      </c>
      <c r="C1663" s="198">
        <v>17335.2</v>
      </c>
    </row>
    <row r="1664" spans="2:3">
      <c r="B1664" s="197">
        <v>43846</v>
      </c>
      <c r="C1664" s="198">
        <v>17339.57</v>
      </c>
    </row>
    <row r="1665" spans="2:3">
      <c r="B1665" s="197">
        <v>43845</v>
      </c>
      <c r="C1665" s="198">
        <v>17322.5</v>
      </c>
    </row>
    <row r="1666" spans="2:3">
      <c r="B1666" s="197">
        <v>43844</v>
      </c>
      <c r="C1666" s="198">
        <v>17349.12</v>
      </c>
    </row>
    <row r="1667" spans="2:3">
      <c r="B1667" s="197">
        <v>43843</v>
      </c>
      <c r="C1667" s="198">
        <v>17303.2</v>
      </c>
    </row>
    <row r="1668" spans="2:3">
      <c r="B1668" s="197">
        <v>43840</v>
      </c>
      <c r="C1668" s="198">
        <v>17201.080000000002</v>
      </c>
    </row>
    <row r="1669" spans="2:3">
      <c r="B1669" s="197">
        <v>43839</v>
      </c>
      <c r="C1669" s="198">
        <v>17143.650000000001</v>
      </c>
    </row>
    <row r="1670" spans="2:3">
      <c r="B1670" s="197">
        <v>43838</v>
      </c>
      <c r="C1670" s="198">
        <v>16876.240000000002</v>
      </c>
    </row>
    <row r="1671" spans="2:3">
      <c r="B1671" s="197">
        <v>43837</v>
      </c>
      <c r="C1671" s="198">
        <v>16915.03</v>
      </c>
    </row>
    <row r="1672" spans="2:3">
      <c r="B1672" s="197">
        <v>43836</v>
      </c>
      <c r="C1672" s="198">
        <v>16830.93</v>
      </c>
    </row>
    <row r="1673" spans="2:3">
      <c r="B1673" s="197">
        <v>43833</v>
      </c>
      <c r="C1673" s="198">
        <v>17158.75</v>
      </c>
    </row>
    <row r="1674" spans="2:3">
      <c r="B1674" s="197">
        <v>43832</v>
      </c>
      <c r="C1674" s="198">
        <v>17236.7</v>
      </c>
    </row>
    <row r="1675" spans="2:3">
      <c r="B1675" s="197">
        <v>43831</v>
      </c>
      <c r="C1675" s="198">
        <v>17096.830000000002</v>
      </c>
    </row>
    <row r="1676" spans="2:3">
      <c r="B1676" s="197">
        <v>43830</v>
      </c>
      <c r="C1676" s="198">
        <v>17077.060000000001</v>
      </c>
    </row>
    <row r="1677" spans="2:3">
      <c r="B1677" s="197">
        <v>43829</v>
      </c>
      <c r="C1677" s="198">
        <v>17199.73</v>
      </c>
    </row>
    <row r="1678" spans="2:3">
      <c r="B1678" s="197">
        <v>43826</v>
      </c>
      <c r="C1678" s="198">
        <v>17185.66</v>
      </c>
    </row>
    <row r="1679" spans="2:3">
      <c r="B1679" s="197">
        <v>43825</v>
      </c>
      <c r="C1679" s="198">
        <v>17018.259999999998</v>
      </c>
    </row>
    <row r="1680" spans="2:3">
      <c r="B1680" s="197">
        <v>43823</v>
      </c>
      <c r="C1680" s="198">
        <v>17141.8</v>
      </c>
    </row>
    <row r="1681" spans="2:3">
      <c r="B1681" s="197">
        <v>43822</v>
      </c>
      <c r="C1681" s="198">
        <v>17209.400000000001</v>
      </c>
    </row>
    <row r="1682" spans="2:3">
      <c r="B1682" s="197">
        <v>43819</v>
      </c>
      <c r="C1682" s="198">
        <v>17222.14</v>
      </c>
    </row>
    <row r="1683" spans="2:3">
      <c r="B1683" s="197">
        <v>43818</v>
      </c>
      <c r="C1683" s="198">
        <v>17205.12</v>
      </c>
    </row>
    <row r="1684" spans="2:3">
      <c r="B1684" s="197">
        <v>43817</v>
      </c>
      <c r="C1684" s="198">
        <v>17150.93</v>
      </c>
    </row>
    <row r="1685" spans="2:3">
      <c r="B1685" s="197">
        <v>43816</v>
      </c>
      <c r="C1685" s="198">
        <v>17071.490000000002</v>
      </c>
    </row>
    <row r="1686" spans="2:3">
      <c r="B1686" s="197">
        <v>43815</v>
      </c>
      <c r="C1686" s="198">
        <v>16915.650000000001</v>
      </c>
    </row>
    <row r="1687" spans="2:3">
      <c r="B1687" s="197">
        <v>43812</v>
      </c>
      <c r="C1687" s="198">
        <v>16961.560000000001</v>
      </c>
    </row>
    <row r="1688" spans="2:3">
      <c r="B1688" s="197">
        <v>43811</v>
      </c>
      <c r="C1688" s="198">
        <v>16800.36</v>
      </c>
    </row>
    <row r="1689" spans="2:3">
      <c r="B1689" s="197">
        <v>43810</v>
      </c>
      <c r="C1689" s="198">
        <v>16713.79</v>
      </c>
    </row>
    <row r="1690" spans="2:3">
      <c r="B1690" s="197">
        <v>43809</v>
      </c>
      <c r="C1690" s="198">
        <v>16638.939999999999</v>
      </c>
    </row>
    <row r="1691" spans="2:3">
      <c r="B1691" s="197">
        <v>43808</v>
      </c>
      <c r="C1691" s="198">
        <v>16751.53</v>
      </c>
    </row>
    <row r="1692" spans="2:3">
      <c r="B1692" s="197">
        <v>43805</v>
      </c>
      <c r="C1692" s="198">
        <v>16729.080000000002</v>
      </c>
    </row>
    <row r="1693" spans="2:3">
      <c r="B1693" s="197">
        <v>43804</v>
      </c>
      <c r="C1693" s="198">
        <v>16865.04</v>
      </c>
    </row>
    <row r="1694" spans="2:3">
      <c r="B1694" s="197">
        <v>43803</v>
      </c>
      <c r="C1694" s="198">
        <v>16899.88</v>
      </c>
    </row>
    <row r="1695" spans="2:3">
      <c r="B1695" s="197">
        <v>43802</v>
      </c>
      <c r="C1695" s="198">
        <v>16831.11</v>
      </c>
    </row>
    <row r="1696" spans="2:3">
      <c r="B1696" s="197">
        <v>43801</v>
      </c>
      <c r="C1696" s="198">
        <v>16906.88</v>
      </c>
    </row>
    <row r="1697" spans="2:3">
      <c r="B1697" s="197">
        <v>43798</v>
      </c>
      <c r="C1697" s="198">
        <v>16917.89</v>
      </c>
    </row>
    <row r="1698" spans="2:3">
      <c r="B1698" s="197">
        <v>43797</v>
      </c>
      <c r="C1698" s="198">
        <v>17051.310000000001</v>
      </c>
    </row>
    <row r="1699" spans="2:3">
      <c r="B1699" s="197">
        <v>43796</v>
      </c>
      <c r="C1699" s="198">
        <v>16980.54</v>
      </c>
    </row>
    <row r="1700" spans="2:3">
      <c r="B1700" s="197">
        <v>43795</v>
      </c>
      <c r="C1700" s="198">
        <v>16892.150000000001</v>
      </c>
    </row>
    <row r="1701" spans="2:3">
      <c r="B1701" s="197">
        <v>43794</v>
      </c>
      <c r="C1701" s="198">
        <v>16942.7</v>
      </c>
    </row>
    <row r="1702" spans="2:3">
      <c r="B1702" s="197">
        <v>43791</v>
      </c>
      <c r="C1702" s="198">
        <v>16719.11</v>
      </c>
    </row>
    <row r="1703" spans="2:3">
      <c r="B1703" s="197">
        <v>43790</v>
      </c>
      <c r="C1703" s="198">
        <v>16794.86</v>
      </c>
    </row>
    <row r="1704" spans="2:3">
      <c r="B1704" s="197">
        <v>43789</v>
      </c>
      <c r="C1704" s="198">
        <v>16837.96</v>
      </c>
    </row>
    <row r="1705" spans="2:3">
      <c r="B1705" s="197">
        <v>43788</v>
      </c>
      <c r="C1705" s="198">
        <v>16755.150000000001</v>
      </c>
    </row>
    <row r="1706" spans="2:3">
      <c r="B1706" s="197">
        <v>43787</v>
      </c>
      <c r="C1706" s="198">
        <v>16677.14</v>
      </c>
    </row>
    <row r="1707" spans="2:3">
      <c r="B1707" s="197">
        <v>43784</v>
      </c>
      <c r="C1707" s="198">
        <v>16692.52</v>
      </c>
    </row>
    <row r="1708" spans="2:3">
      <c r="B1708" s="197">
        <v>43783</v>
      </c>
      <c r="C1708" s="198">
        <v>16659.78</v>
      </c>
    </row>
    <row r="1709" spans="2:3">
      <c r="B1709" s="197">
        <v>43782</v>
      </c>
      <c r="C1709" s="198">
        <v>16615.37</v>
      </c>
    </row>
    <row r="1710" spans="2:3">
      <c r="B1710" s="197">
        <v>43780</v>
      </c>
      <c r="C1710" s="198">
        <v>16717.75</v>
      </c>
    </row>
    <row r="1711" spans="2:3">
      <c r="B1711" s="197">
        <v>43777</v>
      </c>
      <c r="C1711" s="198">
        <v>16710.37</v>
      </c>
    </row>
    <row r="1712" spans="2:3">
      <c r="B1712" s="197">
        <v>43776</v>
      </c>
      <c r="C1712" s="198">
        <v>16856.169999999998</v>
      </c>
    </row>
    <row r="1713" spans="2:3">
      <c r="B1713" s="197">
        <v>43775</v>
      </c>
      <c r="C1713" s="198">
        <v>16791.61</v>
      </c>
    </row>
    <row r="1714" spans="2:3">
      <c r="B1714" s="197">
        <v>43774</v>
      </c>
      <c r="C1714" s="198">
        <v>16723.060000000001</v>
      </c>
    </row>
    <row r="1715" spans="2:3">
      <c r="B1715" s="197">
        <v>43773</v>
      </c>
      <c r="C1715" s="198">
        <v>16756.87</v>
      </c>
    </row>
    <row r="1716" spans="2:3">
      <c r="B1716" s="197">
        <v>43770</v>
      </c>
      <c r="C1716" s="198">
        <v>16685.73</v>
      </c>
    </row>
    <row r="1717" spans="2:3">
      <c r="B1717" s="197">
        <v>43769</v>
      </c>
      <c r="C1717" s="198">
        <v>16667.29</v>
      </c>
    </row>
    <row r="1718" spans="2:3">
      <c r="B1718" s="197">
        <v>43768</v>
      </c>
      <c r="C1718" s="198">
        <v>16620.07</v>
      </c>
    </row>
    <row r="1719" spans="2:3">
      <c r="B1719" s="197">
        <v>43767</v>
      </c>
      <c r="C1719" s="198">
        <v>16539.23</v>
      </c>
    </row>
    <row r="1720" spans="2:3">
      <c r="B1720" s="197">
        <v>43765</v>
      </c>
      <c r="C1720" s="198">
        <v>16315.17</v>
      </c>
    </row>
    <row r="1721" spans="2:3">
      <c r="B1721" s="197">
        <v>43763</v>
      </c>
      <c r="C1721" s="198">
        <v>16254.45</v>
      </c>
    </row>
    <row r="1722" spans="2:3">
      <c r="B1722" s="197">
        <v>43762</v>
      </c>
      <c r="C1722" s="198">
        <v>16252.63</v>
      </c>
    </row>
    <row r="1723" spans="2:3">
      <c r="B1723" s="197">
        <v>43761</v>
      </c>
      <c r="C1723" s="198">
        <v>16282.84</v>
      </c>
    </row>
    <row r="1724" spans="2:3">
      <c r="B1724" s="197">
        <v>43760</v>
      </c>
      <c r="C1724" s="198">
        <v>16248.11</v>
      </c>
    </row>
    <row r="1725" spans="2:3">
      <c r="B1725" s="197">
        <v>43756</v>
      </c>
      <c r="C1725" s="198">
        <v>16351.16</v>
      </c>
    </row>
    <row r="1726" spans="2:3">
      <c r="B1726" s="197">
        <v>43755</v>
      </c>
      <c r="C1726" s="198">
        <v>16245.31</v>
      </c>
    </row>
    <row r="1727" spans="2:3">
      <c r="B1727" s="197">
        <v>43754</v>
      </c>
      <c r="C1727" s="198">
        <v>16057.85</v>
      </c>
    </row>
    <row r="1728" spans="2:3">
      <c r="B1728" s="197">
        <v>43753</v>
      </c>
      <c r="C1728" s="198">
        <v>16007.83</v>
      </c>
    </row>
    <row r="1729" spans="2:3">
      <c r="B1729" s="197">
        <v>43752</v>
      </c>
      <c r="C1729" s="198">
        <v>15885.74</v>
      </c>
    </row>
    <row r="1730" spans="2:3">
      <c r="B1730" s="197">
        <v>43749</v>
      </c>
      <c r="C1730" s="198">
        <v>15835.17</v>
      </c>
    </row>
    <row r="1731" spans="2:3">
      <c r="B1731" s="197">
        <v>43748</v>
      </c>
      <c r="C1731" s="198">
        <v>15736.44</v>
      </c>
    </row>
    <row r="1732" spans="2:3">
      <c r="B1732" s="197">
        <v>43747</v>
      </c>
      <c r="C1732" s="198">
        <v>15846.77</v>
      </c>
    </row>
    <row r="1733" spans="2:3">
      <c r="B1733" s="197">
        <v>43745</v>
      </c>
      <c r="C1733" s="198">
        <v>15584.94</v>
      </c>
    </row>
    <row r="1734" spans="2:3">
      <c r="B1734" s="197">
        <v>43742</v>
      </c>
      <c r="C1734" s="198">
        <v>15652.7</v>
      </c>
    </row>
    <row r="1735" spans="2:3">
      <c r="B1735" s="197">
        <v>43741</v>
      </c>
      <c r="C1735" s="198">
        <v>15847.7</v>
      </c>
    </row>
    <row r="1736" spans="2:3">
      <c r="B1736" s="197">
        <v>43739</v>
      </c>
      <c r="C1736" s="198">
        <v>15912.03</v>
      </c>
    </row>
    <row r="1737" spans="2:3">
      <c r="B1737" s="197">
        <v>43738</v>
      </c>
      <c r="C1737" s="198">
        <v>16072.5</v>
      </c>
    </row>
    <row r="1738" spans="2:3">
      <c r="B1738" s="197">
        <v>43735</v>
      </c>
      <c r="C1738" s="198">
        <v>16125.65</v>
      </c>
    </row>
    <row r="1739" spans="2:3">
      <c r="B1739" s="197">
        <v>43734</v>
      </c>
      <c r="C1739" s="198">
        <v>16207.96</v>
      </c>
    </row>
    <row r="1740" spans="2:3">
      <c r="B1740" s="197">
        <v>43733</v>
      </c>
      <c r="C1740" s="198">
        <v>16024.49</v>
      </c>
    </row>
    <row r="1741" spans="2:3">
      <c r="B1741" s="197">
        <v>43732</v>
      </c>
      <c r="C1741" s="198">
        <v>16231.83</v>
      </c>
    </row>
    <row r="1742" spans="2:3">
      <c r="B1742" s="197">
        <v>43731</v>
      </c>
      <c r="C1742" s="198">
        <v>16248.62</v>
      </c>
    </row>
    <row r="1743" spans="2:3">
      <c r="B1743" s="197">
        <v>43728</v>
      </c>
      <c r="C1743" s="198">
        <v>15791.99</v>
      </c>
    </row>
    <row r="1744" spans="2:3">
      <c r="B1744" s="197">
        <v>43727</v>
      </c>
      <c r="C1744" s="198">
        <v>14994.39</v>
      </c>
    </row>
    <row r="1745" spans="2:3">
      <c r="B1745" s="197">
        <v>43726</v>
      </c>
      <c r="C1745" s="198">
        <v>15184.69</v>
      </c>
    </row>
    <row r="1746" spans="2:3">
      <c r="B1746" s="197">
        <v>43725</v>
      </c>
      <c r="C1746" s="198">
        <v>15152.39</v>
      </c>
    </row>
    <row r="1747" spans="2:3">
      <c r="B1747" s="197">
        <v>43724</v>
      </c>
      <c r="C1747" s="198">
        <v>15412.83</v>
      </c>
    </row>
    <row r="1748" spans="2:3">
      <c r="B1748" s="197">
        <v>43721</v>
      </c>
      <c r="C1748" s="198">
        <v>15514.2</v>
      </c>
    </row>
    <row r="1749" spans="2:3">
      <c r="B1749" s="197">
        <v>43720</v>
      </c>
      <c r="C1749" s="198">
        <v>15383.82</v>
      </c>
    </row>
    <row r="1750" spans="2:3">
      <c r="B1750" s="197">
        <v>43719</v>
      </c>
      <c r="C1750" s="198">
        <v>15457.9</v>
      </c>
    </row>
    <row r="1751" spans="2:3">
      <c r="B1751" s="197">
        <v>43717</v>
      </c>
      <c r="C1751" s="198">
        <v>15412.14</v>
      </c>
    </row>
    <row r="1752" spans="2:3">
      <c r="B1752" s="197">
        <v>43714</v>
      </c>
      <c r="C1752" s="198">
        <v>15332.57</v>
      </c>
    </row>
    <row r="1753" spans="2:3">
      <c r="B1753" s="197">
        <v>43713</v>
      </c>
      <c r="C1753" s="198">
        <v>15194.86</v>
      </c>
    </row>
    <row r="1754" spans="2:3">
      <c r="B1754" s="197">
        <v>43712</v>
      </c>
      <c r="C1754" s="198">
        <v>15190.3</v>
      </c>
    </row>
    <row r="1755" spans="2:3">
      <c r="B1755" s="197">
        <v>43711</v>
      </c>
      <c r="C1755" s="198">
        <v>15124.8</v>
      </c>
    </row>
    <row r="1756" spans="2:3">
      <c r="B1756" s="197">
        <v>43707</v>
      </c>
      <c r="C1756" s="198">
        <v>15440.47</v>
      </c>
    </row>
    <row r="1757" spans="2:3">
      <c r="B1757" s="197">
        <v>43706</v>
      </c>
      <c r="C1757" s="198">
        <v>15335.45</v>
      </c>
    </row>
    <row r="1758" spans="2:3">
      <c r="B1758" s="197">
        <v>43705</v>
      </c>
      <c r="C1758" s="198">
        <v>15472.44</v>
      </c>
    </row>
    <row r="1759" spans="2:3">
      <c r="B1759" s="197">
        <v>43704</v>
      </c>
      <c r="C1759" s="198">
        <v>15555.44</v>
      </c>
    </row>
    <row r="1760" spans="2:3">
      <c r="B1760" s="197">
        <v>43703</v>
      </c>
      <c r="C1760" s="198">
        <v>15488.96</v>
      </c>
    </row>
    <row r="1761" spans="2:3">
      <c r="B1761" s="197">
        <v>43700</v>
      </c>
      <c r="C1761" s="198">
        <v>15168.88</v>
      </c>
    </row>
    <row r="1762" spans="2:3">
      <c r="B1762" s="197">
        <v>43699</v>
      </c>
      <c r="C1762" s="198">
        <v>15045.62</v>
      </c>
    </row>
    <row r="1763" spans="2:3">
      <c r="B1763" s="197">
        <v>43698</v>
      </c>
      <c r="C1763" s="198">
        <v>15290.85</v>
      </c>
    </row>
    <row r="1764" spans="2:3">
      <c r="B1764" s="197">
        <v>43697</v>
      </c>
      <c r="C1764" s="198">
        <v>15425.45</v>
      </c>
    </row>
    <row r="1765" spans="2:3">
      <c r="B1765" s="197">
        <v>43696</v>
      </c>
      <c r="C1765" s="198">
        <v>15476.07</v>
      </c>
    </row>
    <row r="1766" spans="2:3">
      <c r="B1766" s="197">
        <v>43693</v>
      </c>
      <c r="C1766" s="198">
        <v>15464.58</v>
      </c>
    </row>
    <row r="1767" spans="2:3">
      <c r="B1767" s="197">
        <v>43691</v>
      </c>
      <c r="C1767" s="198">
        <v>15438.86</v>
      </c>
    </row>
    <row r="1768" spans="2:3">
      <c r="B1768" s="197">
        <v>43690</v>
      </c>
      <c r="C1768" s="198">
        <v>15289.35</v>
      </c>
    </row>
    <row r="1769" spans="2:3">
      <c r="B1769" s="197">
        <v>43686</v>
      </c>
      <c r="C1769" s="198">
        <v>15542.72</v>
      </c>
    </row>
    <row r="1770" spans="2:3">
      <c r="B1770" s="197">
        <v>43685</v>
      </c>
      <c r="C1770" s="198">
        <v>15434.73</v>
      </c>
    </row>
    <row r="1771" spans="2:3">
      <c r="B1771" s="197">
        <v>43684</v>
      </c>
      <c r="C1771" s="198">
        <v>15184.34</v>
      </c>
    </row>
    <row r="1772" spans="2:3">
      <c r="B1772" s="197">
        <v>43683</v>
      </c>
      <c r="C1772" s="198">
        <v>15314.03</v>
      </c>
    </row>
    <row r="1773" spans="2:3">
      <c r="B1773" s="197">
        <v>43682</v>
      </c>
      <c r="C1773" s="198">
        <v>15194.27</v>
      </c>
    </row>
    <row r="1774" spans="2:3">
      <c r="B1774" s="197">
        <v>43679</v>
      </c>
      <c r="C1774" s="198">
        <v>15382.73</v>
      </c>
    </row>
    <row r="1775" spans="2:3">
      <c r="B1775" s="197">
        <v>43678</v>
      </c>
      <c r="C1775" s="198">
        <v>15350.83</v>
      </c>
    </row>
    <row r="1776" spans="2:3">
      <c r="B1776" s="197">
        <v>43677</v>
      </c>
      <c r="C1776" s="198">
        <v>15539.43</v>
      </c>
    </row>
    <row r="1777" spans="2:3">
      <c r="B1777" s="197">
        <v>43676</v>
      </c>
      <c r="C1777" s="198">
        <v>15493.33</v>
      </c>
    </row>
    <row r="1778" spans="2:3">
      <c r="B1778" s="197">
        <v>43675</v>
      </c>
      <c r="C1778" s="198">
        <v>15638.42</v>
      </c>
    </row>
    <row r="1779" spans="2:3">
      <c r="B1779" s="197">
        <v>43672</v>
      </c>
      <c r="C1779" s="198">
        <v>15770.63</v>
      </c>
    </row>
    <row r="1780" spans="2:3">
      <c r="B1780" s="197">
        <v>43671</v>
      </c>
      <c r="C1780" s="198">
        <v>15725.6</v>
      </c>
    </row>
    <row r="1781" spans="2:3">
      <c r="B1781" s="197">
        <v>43670</v>
      </c>
      <c r="C1781" s="198">
        <v>15749.37</v>
      </c>
    </row>
    <row r="1782" spans="2:3">
      <c r="B1782" s="197">
        <v>43669</v>
      </c>
      <c r="C1782" s="198">
        <v>15824.55</v>
      </c>
    </row>
    <row r="1783" spans="2:3">
      <c r="B1783" s="197">
        <v>43668</v>
      </c>
      <c r="C1783" s="198">
        <v>15845.74</v>
      </c>
    </row>
    <row r="1784" spans="2:3">
      <c r="B1784" s="197">
        <v>43665</v>
      </c>
      <c r="C1784" s="198">
        <v>15945.55</v>
      </c>
    </row>
    <row r="1785" spans="2:3">
      <c r="B1785" s="197">
        <v>43664</v>
      </c>
      <c r="C1785" s="198">
        <v>16183.16</v>
      </c>
    </row>
    <row r="1786" spans="2:3">
      <c r="B1786" s="197">
        <v>43663</v>
      </c>
      <c r="C1786" s="198">
        <v>16306.82</v>
      </c>
    </row>
    <row r="1787" spans="2:3">
      <c r="B1787" s="197">
        <v>43662</v>
      </c>
      <c r="C1787" s="198">
        <v>16272.08</v>
      </c>
    </row>
    <row r="1788" spans="2:3">
      <c r="B1788" s="197">
        <v>43661</v>
      </c>
      <c r="C1788" s="198">
        <v>16165.28</v>
      </c>
    </row>
    <row r="1789" spans="2:3">
      <c r="B1789" s="197">
        <v>43658</v>
      </c>
      <c r="C1789" s="198">
        <v>16113.75</v>
      </c>
    </row>
    <row r="1790" spans="2:3">
      <c r="B1790" s="197">
        <v>43657</v>
      </c>
      <c r="C1790" s="198">
        <v>16155.78</v>
      </c>
    </row>
    <row r="1791" spans="2:3">
      <c r="B1791" s="197">
        <v>43656</v>
      </c>
      <c r="C1791" s="198">
        <v>16035.44</v>
      </c>
    </row>
    <row r="1792" spans="2:3">
      <c r="B1792" s="197">
        <v>43655</v>
      </c>
      <c r="C1792" s="198">
        <v>16114.46</v>
      </c>
    </row>
    <row r="1793" spans="2:3">
      <c r="B1793" s="197">
        <v>43654</v>
      </c>
      <c r="C1793" s="198">
        <v>16118.27</v>
      </c>
    </row>
    <row r="1794" spans="2:3">
      <c r="B1794" s="197">
        <v>43651</v>
      </c>
      <c r="C1794" s="198">
        <v>16468.990000000002</v>
      </c>
    </row>
    <row r="1795" spans="2:3">
      <c r="B1795" s="197">
        <v>43650</v>
      </c>
      <c r="C1795" s="198">
        <v>16658.04</v>
      </c>
    </row>
    <row r="1796" spans="2:3">
      <c r="B1796" s="197">
        <v>43649</v>
      </c>
      <c r="C1796" s="198">
        <v>16612.16</v>
      </c>
    </row>
    <row r="1797" spans="2:3">
      <c r="B1797" s="197">
        <v>43648</v>
      </c>
      <c r="C1797" s="198">
        <v>16603.169999999998</v>
      </c>
    </row>
    <row r="1798" spans="2:3">
      <c r="B1798" s="197">
        <v>43647</v>
      </c>
      <c r="C1798" s="198">
        <v>16540.88</v>
      </c>
    </row>
    <row r="1799" spans="2:3">
      <c r="B1799" s="197">
        <v>43644</v>
      </c>
      <c r="C1799" s="198">
        <v>16433.849999999999</v>
      </c>
    </row>
    <row r="1800" spans="2:3">
      <c r="B1800" s="197">
        <v>43643</v>
      </c>
      <c r="C1800" s="198">
        <v>16507.34</v>
      </c>
    </row>
    <row r="1801" spans="2:3">
      <c r="B1801" s="197">
        <v>43642</v>
      </c>
      <c r="C1801" s="198">
        <v>16515.68</v>
      </c>
    </row>
    <row r="1802" spans="2:3">
      <c r="B1802" s="197">
        <v>43641</v>
      </c>
      <c r="C1802" s="198">
        <v>16444.46</v>
      </c>
    </row>
    <row r="1803" spans="2:3">
      <c r="B1803" s="197">
        <v>43640</v>
      </c>
      <c r="C1803" s="198">
        <v>16309.52</v>
      </c>
    </row>
    <row r="1804" spans="2:3">
      <c r="B1804" s="197">
        <v>43637</v>
      </c>
      <c r="C1804" s="198">
        <v>16343.59</v>
      </c>
    </row>
    <row r="1805" spans="2:3">
      <c r="B1805" s="197">
        <v>43636</v>
      </c>
      <c r="C1805" s="198">
        <v>16493.650000000001</v>
      </c>
    </row>
    <row r="1806" spans="2:3">
      <c r="B1806" s="197">
        <v>43635</v>
      </c>
      <c r="C1806" s="198">
        <v>16283.94</v>
      </c>
    </row>
    <row r="1807" spans="2:3">
      <c r="B1807" s="197">
        <v>43634</v>
      </c>
      <c r="C1807" s="198">
        <v>16283.98</v>
      </c>
    </row>
    <row r="1808" spans="2:3">
      <c r="B1808" s="197">
        <v>43633</v>
      </c>
      <c r="C1808" s="198">
        <v>16257.06</v>
      </c>
    </row>
    <row r="1809" spans="2:3">
      <c r="B1809" s="197">
        <v>43630</v>
      </c>
      <c r="C1809" s="198">
        <v>16467.55</v>
      </c>
    </row>
    <row r="1810" spans="2:3">
      <c r="B1810" s="197">
        <v>43629</v>
      </c>
      <c r="C1810" s="198">
        <v>16593.97</v>
      </c>
    </row>
    <row r="1811" spans="2:3">
      <c r="B1811" s="197">
        <v>43628</v>
      </c>
      <c r="C1811" s="198">
        <v>16568.09</v>
      </c>
    </row>
    <row r="1812" spans="2:3">
      <c r="B1812" s="197">
        <v>43627</v>
      </c>
      <c r="C1812" s="198">
        <v>16650.75</v>
      </c>
    </row>
    <row r="1813" spans="2:3">
      <c r="B1813" s="197">
        <v>43626</v>
      </c>
      <c r="C1813" s="198">
        <v>16590.990000000002</v>
      </c>
    </row>
    <row r="1814" spans="2:3">
      <c r="B1814" s="197">
        <v>43623</v>
      </c>
      <c r="C1814" s="198">
        <v>16518.62</v>
      </c>
    </row>
    <row r="1815" spans="2:3">
      <c r="B1815" s="197">
        <v>43622</v>
      </c>
      <c r="C1815" s="198">
        <v>16481.14</v>
      </c>
    </row>
    <row r="1816" spans="2:3">
      <c r="B1816" s="197">
        <v>43620</v>
      </c>
      <c r="C1816" s="198">
        <v>16728.740000000002</v>
      </c>
    </row>
    <row r="1817" spans="2:3">
      <c r="B1817" s="197">
        <v>43619</v>
      </c>
      <c r="C1817" s="198">
        <v>16815.25</v>
      </c>
    </row>
    <row r="1818" spans="2:3">
      <c r="B1818" s="197">
        <v>43616</v>
      </c>
      <c r="C1818" s="198">
        <v>16583.46</v>
      </c>
    </row>
    <row r="1819" spans="2:3">
      <c r="B1819" s="197">
        <v>43615</v>
      </c>
      <c r="C1819" s="198">
        <v>16615.59</v>
      </c>
    </row>
    <row r="1820" spans="2:3">
      <c r="B1820" s="197">
        <v>43614</v>
      </c>
      <c r="C1820" s="198">
        <v>16497.62</v>
      </c>
    </row>
    <row r="1821" spans="2:3">
      <c r="B1821" s="197">
        <v>43613</v>
      </c>
      <c r="C1821" s="198">
        <v>16591.7</v>
      </c>
    </row>
    <row r="1822" spans="2:3">
      <c r="B1822" s="197">
        <v>43612</v>
      </c>
      <c r="C1822" s="198">
        <v>16585.13</v>
      </c>
    </row>
    <row r="1823" spans="2:3">
      <c r="B1823" s="197">
        <v>43609</v>
      </c>
      <c r="C1823" s="198">
        <v>16472.95</v>
      </c>
    </row>
    <row r="1824" spans="2:3">
      <c r="B1824" s="197">
        <v>43608</v>
      </c>
      <c r="C1824" s="198">
        <v>16212.78</v>
      </c>
    </row>
    <row r="1825" spans="2:3">
      <c r="B1825" s="197">
        <v>43607</v>
      </c>
      <c r="C1825" s="198">
        <v>16325.28</v>
      </c>
    </row>
    <row r="1826" spans="2:3">
      <c r="B1826" s="197">
        <v>43606</v>
      </c>
      <c r="C1826" s="198">
        <v>16268.26</v>
      </c>
    </row>
    <row r="1827" spans="2:3">
      <c r="B1827" s="197">
        <v>43605</v>
      </c>
      <c r="C1827" s="198">
        <v>16433.77</v>
      </c>
    </row>
    <row r="1828" spans="2:3">
      <c r="B1828" s="197">
        <v>43602</v>
      </c>
      <c r="C1828" s="198">
        <v>15848.71</v>
      </c>
    </row>
    <row r="1829" spans="2:3">
      <c r="B1829" s="197">
        <v>43601</v>
      </c>
      <c r="C1829" s="198">
        <v>15640.22</v>
      </c>
    </row>
    <row r="1830" spans="2:3">
      <c r="B1830" s="197">
        <v>43600</v>
      </c>
      <c r="C1830" s="198">
        <v>15500.82</v>
      </c>
    </row>
    <row r="1831" spans="2:3">
      <c r="B1831" s="197">
        <v>43599</v>
      </c>
      <c r="C1831" s="198">
        <v>15591.19</v>
      </c>
    </row>
    <row r="1832" spans="2:3">
      <c r="B1832" s="197">
        <v>43598</v>
      </c>
      <c r="C1832" s="198">
        <v>15488.6</v>
      </c>
    </row>
    <row r="1833" spans="2:3">
      <c r="B1833" s="197">
        <v>43595</v>
      </c>
      <c r="C1833" s="198">
        <v>15670.18</v>
      </c>
    </row>
    <row r="1834" spans="2:3">
      <c r="B1834" s="197">
        <v>43594</v>
      </c>
      <c r="C1834" s="198">
        <v>15701.95</v>
      </c>
    </row>
    <row r="1835" spans="2:3">
      <c r="B1835" s="197">
        <v>43593</v>
      </c>
      <c r="C1835" s="198">
        <v>15782.09</v>
      </c>
    </row>
    <row r="1836" spans="2:3">
      <c r="B1836" s="197">
        <v>43592</v>
      </c>
      <c r="C1836" s="198">
        <v>15974.41</v>
      </c>
    </row>
    <row r="1837" spans="2:3">
      <c r="B1837" s="197">
        <v>43591</v>
      </c>
      <c r="C1837" s="198">
        <v>16110.44</v>
      </c>
    </row>
    <row r="1838" spans="2:3">
      <c r="B1838" s="197">
        <v>43588</v>
      </c>
      <c r="C1838" s="198">
        <v>16268.79</v>
      </c>
    </row>
    <row r="1839" spans="2:3">
      <c r="B1839" s="197">
        <v>43587</v>
      </c>
      <c r="C1839" s="198">
        <v>16286.18</v>
      </c>
    </row>
    <row r="1840" spans="2:3">
      <c r="B1840" s="197">
        <v>43585</v>
      </c>
      <c r="C1840" s="198">
        <v>16318.66</v>
      </c>
    </row>
    <row r="1841" spans="2:3">
      <c r="B1841" s="197">
        <v>43581</v>
      </c>
      <c r="C1841" s="198">
        <v>16327.7</v>
      </c>
    </row>
    <row r="1842" spans="2:3">
      <c r="B1842" s="197">
        <v>43580</v>
      </c>
      <c r="C1842" s="198">
        <v>16170.98</v>
      </c>
    </row>
    <row r="1843" spans="2:3">
      <c r="B1843" s="197">
        <v>43579</v>
      </c>
      <c r="C1843" s="198">
        <v>16288.16</v>
      </c>
    </row>
    <row r="1844" spans="2:3">
      <c r="B1844" s="197">
        <v>43578</v>
      </c>
      <c r="C1844" s="198">
        <v>16079.51</v>
      </c>
    </row>
    <row r="1845" spans="2:3">
      <c r="B1845" s="197">
        <v>43577</v>
      </c>
      <c r="C1845" s="198">
        <v>16105.19</v>
      </c>
    </row>
    <row r="1846" spans="2:3">
      <c r="B1846" s="197">
        <v>43573</v>
      </c>
      <c r="C1846" s="198">
        <v>16325.13</v>
      </c>
    </row>
    <row r="1847" spans="2:3">
      <c r="B1847" s="197">
        <v>43571</v>
      </c>
      <c r="C1847" s="198">
        <v>16372.86</v>
      </c>
    </row>
    <row r="1848" spans="2:3">
      <c r="B1848" s="197">
        <v>43570</v>
      </c>
      <c r="C1848" s="198">
        <v>16238.41</v>
      </c>
    </row>
    <row r="1849" spans="2:3">
      <c r="B1849" s="197">
        <v>43567</v>
      </c>
      <c r="C1849" s="198">
        <v>16173.27</v>
      </c>
    </row>
    <row r="1850" spans="2:3">
      <c r="B1850" s="197">
        <v>43566</v>
      </c>
      <c r="C1850" s="198">
        <v>16108.32</v>
      </c>
    </row>
    <row r="1851" spans="2:3">
      <c r="B1851" s="197">
        <v>43565</v>
      </c>
      <c r="C1851" s="198">
        <v>16091.08</v>
      </c>
    </row>
    <row r="1852" spans="2:3">
      <c r="B1852" s="197">
        <v>43564</v>
      </c>
      <c r="C1852" s="198">
        <v>16212.81</v>
      </c>
    </row>
    <row r="1853" spans="2:3">
      <c r="B1853" s="197">
        <v>43563</v>
      </c>
      <c r="C1853" s="198">
        <v>16119.14</v>
      </c>
    </row>
    <row r="1854" spans="2:3">
      <c r="B1854" s="197">
        <v>43560</v>
      </c>
      <c r="C1854" s="198">
        <v>16204.48</v>
      </c>
    </row>
    <row r="1855" spans="2:3">
      <c r="B1855" s="197">
        <v>43559</v>
      </c>
      <c r="C1855" s="198">
        <v>16110.09</v>
      </c>
    </row>
    <row r="1856" spans="2:3">
      <c r="B1856" s="197">
        <v>43558</v>
      </c>
      <c r="C1856" s="198">
        <v>16173.92</v>
      </c>
    </row>
    <row r="1857" spans="2:3">
      <c r="B1857" s="197">
        <v>43557</v>
      </c>
      <c r="C1857" s="198">
        <v>16270.13</v>
      </c>
    </row>
    <row r="1858" spans="2:3">
      <c r="B1858" s="197">
        <v>43556</v>
      </c>
      <c r="C1858" s="198">
        <v>16208.94</v>
      </c>
    </row>
    <row r="1859" spans="2:3">
      <c r="B1859" s="197">
        <v>43553</v>
      </c>
      <c r="C1859" s="198">
        <v>16146.11</v>
      </c>
    </row>
    <row r="1860" spans="2:3">
      <c r="B1860" s="197">
        <v>43552</v>
      </c>
      <c r="C1860" s="198">
        <v>16071.26</v>
      </c>
    </row>
    <row r="1861" spans="2:3">
      <c r="B1861" s="197">
        <v>43551</v>
      </c>
      <c r="C1861" s="198">
        <v>15897.65</v>
      </c>
    </row>
    <row r="1862" spans="2:3">
      <c r="B1862" s="197">
        <v>43550</v>
      </c>
      <c r="C1862" s="198">
        <v>15949.46</v>
      </c>
    </row>
    <row r="1863" spans="2:3">
      <c r="B1863" s="197">
        <v>43549</v>
      </c>
      <c r="C1863" s="198">
        <v>15770.26</v>
      </c>
    </row>
    <row r="1864" spans="2:3">
      <c r="B1864" s="197">
        <v>43546</v>
      </c>
      <c r="C1864" s="198">
        <v>15912.88</v>
      </c>
    </row>
    <row r="1865" spans="2:3">
      <c r="B1865" s="197">
        <v>43544</v>
      </c>
      <c r="C1865" s="198">
        <v>15998.51</v>
      </c>
    </row>
    <row r="1866" spans="2:3">
      <c r="B1866" s="197">
        <v>43543</v>
      </c>
      <c r="C1866" s="198">
        <v>16014.33</v>
      </c>
    </row>
    <row r="1867" spans="2:3">
      <c r="B1867" s="197">
        <v>43542</v>
      </c>
      <c r="C1867" s="198">
        <v>15916.8</v>
      </c>
    </row>
    <row r="1868" spans="2:3">
      <c r="B1868" s="197">
        <v>43539</v>
      </c>
      <c r="C1868" s="198">
        <v>15867.74</v>
      </c>
    </row>
    <row r="1869" spans="2:3">
      <c r="B1869" s="197">
        <v>43538</v>
      </c>
      <c r="C1869" s="198">
        <v>15749.67</v>
      </c>
    </row>
    <row r="1870" spans="2:3">
      <c r="B1870" s="197">
        <v>43537</v>
      </c>
      <c r="C1870" s="198">
        <v>15742.86</v>
      </c>
    </row>
    <row r="1871" spans="2:3">
      <c r="B1871" s="197">
        <v>43536</v>
      </c>
      <c r="C1871" s="198">
        <v>15685.41</v>
      </c>
    </row>
    <row r="1872" spans="2:3">
      <c r="B1872" s="197">
        <v>43535</v>
      </c>
      <c r="C1872" s="198">
        <v>15500.61</v>
      </c>
    </row>
    <row r="1873" spans="2:3">
      <c r="B1873" s="197">
        <v>43532</v>
      </c>
      <c r="C1873" s="198">
        <v>15316.51</v>
      </c>
    </row>
    <row r="1874" spans="2:3">
      <c r="B1874" s="197">
        <v>43531</v>
      </c>
      <c r="C1874" s="198">
        <v>15348.14</v>
      </c>
    </row>
    <row r="1875" spans="2:3">
      <c r="B1875" s="197">
        <v>43530</v>
      </c>
      <c r="C1875" s="198">
        <v>15340.93</v>
      </c>
    </row>
    <row r="1876" spans="2:3">
      <c r="B1876" s="197">
        <v>43529</v>
      </c>
      <c r="C1876" s="198">
        <v>15249.97</v>
      </c>
    </row>
    <row r="1877" spans="2:3">
      <c r="B1877" s="197">
        <v>43525</v>
      </c>
      <c r="C1877" s="198">
        <v>15077.91</v>
      </c>
    </row>
    <row r="1878" spans="2:3">
      <c r="B1878" s="197">
        <v>43524</v>
      </c>
      <c r="C1878" s="198">
        <v>14979.39</v>
      </c>
    </row>
    <row r="1879" spans="2:3">
      <c r="B1879" s="197">
        <v>43523</v>
      </c>
      <c r="C1879" s="198">
        <v>14993.45</v>
      </c>
    </row>
    <row r="1880" spans="2:3">
      <c r="B1880" s="197">
        <v>43522</v>
      </c>
      <c r="C1880" s="198">
        <v>15033.15</v>
      </c>
    </row>
    <row r="1881" spans="2:3">
      <c r="B1881" s="197">
        <v>43521</v>
      </c>
      <c r="C1881" s="198">
        <v>15095.33</v>
      </c>
    </row>
    <row r="1882" spans="2:3">
      <c r="B1882" s="197">
        <v>43518</v>
      </c>
      <c r="C1882" s="198">
        <v>14972.58</v>
      </c>
    </row>
    <row r="1883" spans="2:3">
      <c r="B1883" s="197">
        <v>43517</v>
      </c>
      <c r="C1883" s="198">
        <v>14970.12</v>
      </c>
    </row>
    <row r="1884" spans="2:3">
      <c r="B1884" s="197">
        <v>43516</v>
      </c>
      <c r="C1884" s="198">
        <v>14891.6</v>
      </c>
    </row>
    <row r="1885" spans="2:3">
      <c r="B1885" s="197">
        <v>43515</v>
      </c>
      <c r="C1885" s="198">
        <v>14709.75</v>
      </c>
    </row>
    <row r="1886" spans="2:3">
      <c r="B1886" s="197">
        <v>43514</v>
      </c>
      <c r="C1886" s="198">
        <v>14760.48</v>
      </c>
    </row>
    <row r="1887" spans="2:3">
      <c r="B1887" s="197">
        <v>43511</v>
      </c>
      <c r="C1887" s="198">
        <v>14876.27</v>
      </c>
    </row>
    <row r="1888" spans="2:3">
      <c r="B1888" s="197">
        <v>43510</v>
      </c>
      <c r="C1888" s="198">
        <v>14906.26</v>
      </c>
    </row>
    <row r="1889" spans="2:3">
      <c r="B1889" s="197">
        <v>43509</v>
      </c>
      <c r="C1889" s="198">
        <v>14970.62</v>
      </c>
    </row>
    <row r="1890" spans="2:3">
      <c r="B1890" s="197">
        <v>43508</v>
      </c>
      <c r="C1890" s="198">
        <v>15023.02</v>
      </c>
    </row>
    <row r="1891" spans="2:3">
      <c r="B1891" s="197">
        <v>43507</v>
      </c>
      <c r="C1891" s="198">
        <v>15100.61</v>
      </c>
    </row>
    <row r="1892" spans="2:3">
      <c r="B1892" s="197">
        <v>43504</v>
      </c>
      <c r="C1892" s="198">
        <v>15173.02</v>
      </c>
    </row>
    <row r="1893" spans="2:3">
      <c r="B1893" s="197">
        <v>43503</v>
      </c>
      <c r="C1893" s="198">
        <v>15347.41</v>
      </c>
    </row>
    <row r="1894" spans="2:3">
      <c r="B1894" s="197">
        <v>43502</v>
      </c>
      <c r="C1894" s="198">
        <v>15337.8</v>
      </c>
    </row>
    <row r="1895" spans="2:3">
      <c r="B1895" s="197">
        <v>43501</v>
      </c>
      <c r="C1895" s="198">
        <v>15155.99</v>
      </c>
    </row>
    <row r="1896" spans="2:3">
      <c r="B1896" s="197">
        <v>43500</v>
      </c>
      <c r="C1896" s="198">
        <v>15125.02</v>
      </c>
    </row>
    <row r="1897" spans="2:3">
      <c r="B1897" s="197">
        <v>43497</v>
      </c>
      <c r="C1897" s="198">
        <v>15099.21</v>
      </c>
    </row>
    <row r="1898" spans="2:3">
      <c r="B1898" s="197">
        <v>43496</v>
      </c>
      <c r="C1898" s="198">
        <v>15012.34</v>
      </c>
    </row>
    <row r="1899" spans="2:3">
      <c r="B1899" s="197">
        <v>43495</v>
      </c>
      <c r="C1899" s="198">
        <v>14764.02</v>
      </c>
    </row>
    <row r="1900" spans="2:3">
      <c r="B1900" s="197">
        <v>43494</v>
      </c>
      <c r="C1900" s="198">
        <v>14764.59</v>
      </c>
    </row>
    <row r="1901" spans="2:3">
      <c r="B1901" s="197">
        <v>43493</v>
      </c>
      <c r="C1901" s="198">
        <v>14777.11</v>
      </c>
    </row>
    <row r="1902" spans="2:3">
      <c r="B1902" s="197">
        <v>43490</v>
      </c>
      <c r="C1902" s="198">
        <v>14942.09</v>
      </c>
    </row>
    <row r="1903" spans="2:3">
      <c r="B1903" s="197">
        <v>43489</v>
      </c>
      <c r="C1903" s="198">
        <v>15038.07</v>
      </c>
    </row>
    <row r="1904" spans="2:3">
      <c r="B1904" s="197">
        <v>43488</v>
      </c>
      <c r="C1904" s="198">
        <v>15007.4</v>
      </c>
    </row>
    <row r="1905" spans="2:3">
      <c r="B1905" s="197">
        <v>43487</v>
      </c>
      <c r="C1905" s="198">
        <v>15133.83</v>
      </c>
    </row>
    <row r="1906" spans="2:3">
      <c r="B1906" s="197">
        <v>43486</v>
      </c>
      <c r="C1906" s="198">
        <v>15188</v>
      </c>
    </row>
    <row r="1907" spans="2:3">
      <c r="B1907" s="197">
        <v>43483</v>
      </c>
      <c r="C1907" s="198">
        <v>15111.95</v>
      </c>
    </row>
    <row r="1908" spans="2:3">
      <c r="B1908" s="197">
        <v>43482</v>
      </c>
      <c r="C1908" s="198">
        <v>15109.54</v>
      </c>
    </row>
    <row r="1909" spans="2:3">
      <c r="B1909" s="197">
        <v>43481</v>
      </c>
      <c r="C1909" s="198">
        <v>15087.41</v>
      </c>
    </row>
    <row r="1910" spans="2:3">
      <c r="B1910" s="197">
        <v>43480</v>
      </c>
      <c r="C1910" s="198">
        <v>15082.59</v>
      </c>
    </row>
    <row r="1911" spans="2:3">
      <c r="B1911" s="197">
        <v>43479</v>
      </c>
      <c r="C1911" s="198">
        <v>14875.92</v>
      </c>
    </row>
    <row r="1912" spans="2:3">
      <c r="B1912" s="197">
        <v>43476</v>
      </c>
      <c r="C1912" s="198">
        <v>14955.33</v>
      </c>
    </row>
    <row r="1913" spans="2:3">
      <c r="B1913" s="197">
        <v>43475</v>
      </c>
      <c r="C1913" s="198">
        <v>14992.23</v>
      </c>
    </row>
    <row r="1914" spans="2:3">
      <c r="B1914" s="197">
        <v>43474</v>
      </c>
      <c r="C1914" s="198">
        <v>15038.74</v>
      </c>
    </row>
    <row r="1915" spans="2:3">
      <c r="B1915" s="197">
        <v>43473</v>
      </c>
      <c r="C1915" s="198">
        <v>14965.34</v>
      </c>
    </row>
    <row r="1916" spans="2:3">
      <c r="B1916" s="197">
        <v>43472</v>
      </c>
      <c r="C1916" s="198">
        <v>14923.27</v>
      </c>
    </row>
    <row r="1917" spans="2:3">
      <c r="B1917" s="197">
        <v>43469</v>
      </c>
      <c r="C1917" s="198">
        <v>14861.69</v>
      </c>
    </row>
    <row r="1918" spans="2:3">
      <c r="B1918" s="197">
        <v>43468</v>
      </c>
      <c r="C1918" s="198">
        <v>14785.38</v>
      </c>
    </row>
    <row r="1919" spans="2:3">
      <c r="B1919" s="197">
        <v>43467</v>
      </c>
      <c r="C1919" s="198">
        <v>14951.96</v>
      </c>
    </row>
    <row r="1920" spans="2:3">
      <c r="B1920" s="197">
        <v>43466</v>
      </c>
      <c r="C1920" s="198">
        <v>15114.9</v>
      </c>
    </row>
    <row r="1921" spans="2:3">
      <c r="B1921" s="197">
        <v>43465</v>
      </c>
      <c r="C1921" s="198">
        <v>15048.98</v>
      </c>
    </row>
    <row r="1922" spans="2:3">
      <c r="B1922" s="197">
        <v>43462</v>
      </c>
      <c r="C1922" s="198">
        <v>15045.34</v>
      </c>
    </row>
    <row r="1923" spans="2:3">
      <c r="B1923" s="197">
        <v>43461</v>
      </c>
      <c r="C1923" s="198">
        <v>14930.18</v>
      </c>
    </row>
    <row r="1924" spans="2:3">
      <c r="B1924" s="197">
        <v>43460</v>
      </c>
      <c r="C1924" s="198">
        <v>14860.97</v>
      </c>
    </row>
    <row r="1925" spans="2:3">
      <c r="B1925" s="197">
        <v>43458</v>
      </c>
      <c r="C1925" s="198">
        <v>14769.13</v>
      </c>
    </row>
    <row r="1926" spans="2:3">
      <c r="B1926" s="197">
        <v>43455</v>
      </c>
      <c r="C1926" s="198">
        <v>14894.42</v>
      </c>
    </row>
    <row r="1927" spans="2:3">
      <c r="B1927" s="197">
        <v>43454</v>
      </c>
      <c r="C1927" s="198">
        <v>15163.14</v>
      </c>
    </row>
    <row r="1928" spans="2:3">
      <c r="B1928" s="197">
        <v>43453</v>
      </c>
      <c r="C1928" s="198">
        <v>15184.78</v>
      </c>
    </row>
    <row r="1929" spans="2:3">
      <c r="B1929" s="197">
        <v>43452</v>
      </c>
      <c r="C1929" s="198">
        <v>15103.63</v>
      </c>
    </row>
    <row r="1930" spans="2:3">
      <c r="B1930" s="197">
        <v>43451</v>
      </c>
      <c r="C1930" s="198">
        <v>15075.46</v>
      </c>
    </row>
    <row r="1931" spans="2:3">
      <c r="B1931" s="197">
        <v>43448</v>
      </c>
      <c r="C1931" s="198">
        <v>14960.64</v>
      </c>
    </row>
    <row r="1932" spans="2:3">
      <c r="B1932" s="197">
        <v>43447</v>
      </c>
      <c r="C1932" s="198">
        <v>14941.4</v>
      </c>
    </row>
    <row r="1933" spans="2:3">
      <c r="B1933" s="197">
        <v>43446</v>
      </c>
      <c r="C1933" s="198">
        <v>14866.71</v>
      </c>
    </row>
    <row r="1934" spans="2:3">
      <c r="B1934" s="197">
        <v>43445</v>
      </c>
      <c r="C1934" s="198">
        <v>14605.79</v>
      </c>
    </row>
    <row r="1935" spans="2:3">
      <c r="B1935" s="197">
        <v>43444</v>
      </c>
      <c r="C1935" s="198">
        <v>14521.73</v>
      </c>
    </row>
    <row r="1936" spans="2:3">
      <c r="B1936" s="197">
        <v>43441</v>
      </c>
      <c r="C1936" s="198">
        <v>14805.93</v>
      </c>
    </row>
    <row r="1937" spans="2:3">
      <c r="B1937" s="197">
        <v>43440</v>
      </c>
      <c r="C1937" s="198">
        <v>14677.79</v>
      </c>
    </row>
    <row r="1938" spans="2:3">
      <c r="B1938" s="197">
        <v>43439</v>
      </c>
      <c r="C1938" s="198">
        <v>14929.43</v>
      </c>
    </row>
    <row r="1939" spans="2:3">
      <c r="B1939" s="197">
        <v>43438</v>
      </c>
      <c r="C1939" s="198">
        <v>15049.32</v>
      </c>
    </row>
    <row r="1940" spans="2:3">
      <c r="B1940" s="197">
        <v>43437</v>
      </c>
      <c r="C1940" s="198">
        <v>15069.07</v>
      </c>
    </row>
    <row r="1941" spans="2:3">
      <c r="B1941" s="197">
        <v>43434</v>
      </c>
      <c r="C1941" s="198">
        <v>15059.37</v>
      </c>
    </row>
    <row r="1942" spans="2:3">
      <c r="B1942" s="197">
        <v>43433</v>
      </c>
      <c r="C1942" s="198">
        <v>15034.36</v>
      </c>
    </row>
    <row r="1943" spans="2:3">
      <c r="B1943" s="197">
        <v>43432</v>
      </c>
      <c r="C1943" s="198">
        <v>14854.61</v>
      </c>
    </row>
    <row r="1944" spans="2:3">
      <c r="B1944" s="197">
        <v>43431</v>
      </c>
      <c r="C1944" s="198">
        <v>14794.7</v>
      </c>
    </row>
    <row r="1945" spans="2:3">
      <c r="B1945" s="197">
        <v>43430</v>
      </c>
      <c r="C1945" s="198">
        <v>14715.81</v>
      </c>
    </row>
    <row r="1946" spans="2:3">
      <c r="B1946" s="197">
        <v>43426</v>
      </c>
      <c r="C1946" s="198">
        <v>14574.82</v>
      </c>
    </row>
    <row r="1947" spans="2:3">
      <c r="B1947" s="197">
        <v>43425</v>
      </c>
      <c r="C1947" s="198">
        <v>14676.29</v>
      </c>
    </row>
    <row r="1948" spans="2:3">
      <c r="B1948" s="197">
        <v>43424</v>
      </c>
      <c r="C1948" s="198">
        <v>14754.03</v>
      </c>
    </row>
    <row r="1949" spans="2:3">
      <c r="B1949" s="197">
        <v>43423</v>
      </c>
      <c r="C1949" s="198">
        <v>14902.44</v>
      </c>
    </row>
    <row r="1950" spans="2:3">
      <c r="B1950" s="197">
        <v>43420</v>
      </c>
      <c r="C1950" s="198">
        <v>14790.05</v>
      </c>
    </row>
    <row r="1951" spans="2:3">
      <c r="B1951" s="197">
        <v>43419</v>
      </c>
      <c r="C1951" s="198">
        <v>14699.33</v>
      </c>
    </row>
    <row r="1952" spans="2:3">
      <c r="B1952" s="197">
        <v>43418</v>
      </c>
      <c r="C1952" s="198">
        <v>14643.42</v>
      </c>
    </row>
    <row r="1953" spans="2:3">
      <c r="B1953" s="197">
        <v>43417</v>
      </c>
      <c r="C1953" s="198">
        <v>14651.98</v>
      </c>
    </row>
    <row r="1954" spans="2:3">
      <c r="B1954" s="197">
        <v>43416</v>
      </c>
      <c r="C1954" s="198">
        <v>14513.12</v>
      </c>
    </row>
    <row r="1955" spans="2:3">
      <c r="B1955" s="197">
        <v>43413</v>
      </c>
      <c r="C1955" s="198">
        <v>14655.69</v>
      </c>
    </row>
    <row r="1956" spans="2:3">
      <c r="B1956" s="197">
        <v>43411</v>
      </c>
      <c r="C1956" s="198">
        <v>14673.98</v>
      </c>
    </row>
    <row r="1957" spans="2:3">
      <c r="B1957" s="197">
        <v>43410</v>
      </c>
      <c r="C1957" s="198">
        <v>14579.28</v>
      </c>
    </row>
    <row r="1958" spans="2:3">
      <c r="B1958" s="197">
        <v>43409</v>
      </c>
      <c r="C1958" s="198">
        <v>14570.98</v>
      </c>
    </row>
    <row r="1959" spans="2:3">
      <c r="B1959" s="197">
        <v>43406</v>
      </c>
      <c r="C1959" s="198">
        <v>14609.96</v>
      </c>
    </row>
    <row r="1960" spans="2:3">
      <c r="B1960" s="197">
        <v>43405</v>
      </c>
      <c r="C1960" s="198">
        <v>14371.1</v>
      </c>
    </row>
    <row r="1961" spans="2:3">
      <c r="B1961" s="197">
        <v>43404</v>
      </c>
      <c r="C1961" s="198">
        <v>14377.38</v>
      </c>
    </row>
    <row r="1962" spans="2:3">
      <c r="B1962" s="197">
        <v>43403</v>
      </c>
      <c r="C1962" s="198">
        <v>14116.91</v>
      </c>
    </row>
    <row r="1963" spans="2:3">
      <c r="B1963" s="197">
        <v>43402</v>
      </c>
      <c r="C1963" s="198">
        <v>14189.11</v>
      </c>
    </row>
    <row r="1964" spans="2:3">
      <c r="B1964" s="197">
        <v>43399</v>
      </c>
      <c r="C1964" s="198">
        <v>13882.95</v>
      </c>
    </row>
    <row r="1965" spans="2:3">
      <c r="B1965" s="197">
        <v>43398</v>
      </c>
      <c r="C1965" s="198">
        <v>14014.33</v>
      </c>
    </row>
    <row r="1966" spans="2:3">
      <c r="B1966" s="197">
        <v>43397</v>
      </c>
      <c r="C1966" s="198">
        <v>14139.75</v>
      </c>
    </row>
    <row r="1967" spans="2:3">
      <c r="B1967" s="197">
        <v>43396</v>
      </c>
      <c r="C1967" s="198">
        <v>14031.96</v>
      </c>
    </row>
    <row r="1968" spans="2:3">
      <c r="B1968" s="197">
        <v>43395</v>
      </c>
      <c r="C1968" s="198">
        <v>14166.64</v>
      </c>
    </row>
    <row r="1969" spans="2:3">
      <c r="B1969" s="197">
        <v>43392</v>
      </c>
      <c r="C1969" s="198">
        <v>14247.22</v>
      </c>
    </row>
    <row r="1970" spans="2:3">
      <c r="B1970" s="197">
        <v>43390</v>
      </c>
      <c r="C1970" s="198">
        <v>14453.94</v>
      </c>
    </row>
    <row r="1971" spans="2:3">
      <c r="B1971" s="197">
        <v>43389</v>
      </c>
      <c r="C1971" s="198">
        <v>14636.1</v>
      </c>
    </row>
    <row r="1972" spans="2:3">
      <c r="B1972" s="197">
        <v>43388</v>
      </c>
      <c r="C1972" s="198">
        <v>14536.17</v>
      </c>
    </row>
    <row r="1973" spans="2:3">
      <c r="B1973" s="197">
        <v>43385</v>
      </c>
      <c r="C1973" s="198">
        <v>14480.86</v>
      </c>
    </row>
    <row r="1974" spans="2:3">
      <c r="B1974" s="197">
        <v>43384</v>
      </c>
      <c r="C1974" s="198">
        <v>14152</v>
      </c>
    </row>
    <row r="1975" spans="2:3">
      <c r="B1975" s="197">
        <v>43383</v>
      </c>
      <c r="C1975" s="198">
        <v>14463.71</v>
      </c>
    </row>
    <row r="1976" spans="2:3">
      <c r="B1976" s="197">
        <v>43382</v>
      </c>
      <c r="C1976" s="198">
        <v>14243.79</v>
      </c>
    </row>
    <row r="1977" spans="2:3">
      <c r="B1977" s="197">
        <v>43381</v>
      </c>
      <c r="C1977" s="198">
        <v>14308.79</v>
      </c>
    </row>
    <row r="1978" spans="2:3">
      <c r="B1978" s="197">
        <v>43378</v>
      </c>
      <c r="C1978" s="198">
        <v>14265.08</v>
      </c>
    </row>
    <row r="1979" spans="2:3">
      <c r="B1979" s="197">
        <v>43377</v>
      </c>
      <c r="C1979" s="198">
        <v>14656.09</v>
      </c>
    </row>
    <row r="1980" spans="2:3">
      <c r="B1980" s="197">
        <v>43376</v>
      </c>
      <c r="C1980" s="198">
        <v>15014.23</v>
      </c>
    </row>
    <row r="1981" spans="2:3">
      <c r="B1981" s="197">
        <v>43374</v>
      </c>
      <c r="C1981" s="198">
        <v>15221.75</v>
      </c>
    </row>
    <row r="1982" spans="2:3">
      <c r="B1982" s="197">
        <v>43371</v>
      </c>
      <c r="C1982" s="198">
        <v>15114.08</v>
      </c>
    </row>
    <row r="1983" spans="2:3">
      <c r="B1983" s="197">
        <v>43370</v>
      </c>
      <c r="C1983" s="198">
        <v>15179.24</v>
      </c>
    </row>
    <row r="1984" spans="2:3">
      <c r="B1984" s="197">
        <v>43369</v>
      </c>
      <c r="C1984" s="198">
        <v>15284.67</v>
      </c>
    </row>
    <row r="1985" spans="2:3">
      <c r="B1985" s="197">
        <v>43368</v>
      </c>
      <c r="C1985" s="198">
        <v>15303.55</v>
      </c>
    </row>
    <row r="1986" spans="2:3">
      <c r="B1986" s="197">
        <v>43367</v>
      </c>
      <c r="C1986" s="198">
        <v>15165.18</v>
      </c>
    </row>
    <row r="1987" spans="2:3">
      <c r="B1987" s="197">
        <v>43364</v>
      </c>
      <c r="C1987" s="198">
        <v>15408.16</v>
      </c>
    </row>
    <row r="1988" spans="2:3">
      <c r="B1988" s="197">
        <v>43362</v>
      </c>
      <c r="C1988" s="198">
        <v>15534.28</v>
      </c>
    </row>
    <row r="1989" spans="2:3">
      <c r="B1989" s="197">
        <v>43361</v>
      </c>
      <c r="C1989" s="198">
        <v>15594.57</v>
      </c>
    </row>
    <row r="1990" spans="2:3">
      <c r="B1990" s="197">
        <v>43360</v>
      </c>
      <c r="C1990" s="198">
        <v>15731.26</v>
      </c>
    </row>
    <row r="1991" spans="2:3">
      <c r="B1991" s="197">
        <v>43357</v>
      </c>
      <c r="C1991" s="198">
        <v>15920.48</v>
      </c>
    </row>
    <row r="1992" spans="2:3">
      <c r="B1992" s="197">
        <v>43355</v>
      </c>
      <c r="C1992" s="198">
        <v>15719.62</v>
      </c>
    </row>
    <row r="1993" spans="2:3">
      <c r="B1993" s="197">
        <v>43354</v>
      </c>
      <c r="C1993" s="198">
        <v>15605.11</v>
      </c>
    </row>
    <row r="1994" spans="2:3">
      <c r="B1994" s="197">
        <v>43353</v>
      </c>
      <c r="C1994" s="198">
        <v>15813.26</v>
      </c>
    </row>
    <row r="1995" spans="2:3">
      <c r="B1995" s="197">
        <v>43350</v>
      </c>
      <c r="C1995" s="198">
        <v>16019.84</v>
      </c>
    </row>
    <row r="1996" spans="2:3">
      <c r="B1996" s="197">
        <v>43349</v>
      </c>
      <c r="C1996" s="198">
        <v>15947.67</v>
      </c>
    </row>
    <row r="1997" spans="2:3">
      <c r="B1997" s="197">
        <v>43348</v>
      </c>
      <c r="C1997" s="198">
        <v>15862.15</v>
      </c>
    </row>
    <row r="1998" spans="2:3">
      <c r="B1998" s="197">
        <v>43347</v>
      </c>
      <c r="C1998" s="198">
        <v>15922.09</v>
      </c>
    </row>
    <row r="1999" spans="2:3">
      <c r="B1999" s="197">
        <v>43346</v>
      </c>
      <c r="C1999" s="198">
        <v>16007.84</v>
      </c>
    </row>
    <row r="2000" spans="2:3">
      <c r="B2000" s="197">
        <v>43343</v>
      </c>
      <c r="C2000" s="198">
        <v>16143.51</v>
      </c>
    </row>
    <row r="2001" spans="2:3">
      <c r="B2001" s="197">
        <v>43342</v>
      </c>
      <c r="C2001" s="198">
        <v>16135.61</v>
      </c>
    </row>
    <row r="2002" spans="2:3">
      <c r="B2002" s="197">
        <v>43341</v>
      </c>
      <c r="C2002" s="198">
        <v>16156.02</v>
      </c>
    </row>
    <row r="2003" spans="2:3">
      <c r="B2003" s="197">
        <v>43340</v>
      </c>
      <c r="C2003" s="198">
        <v>16220.45</v>
      </c>
    </row>
    <row r="2004" spans="2:3">
      <c r="B2004" s="197">
        <v>43339</v>
      </c>
      <c r="C2004" s="198">
        <v>16156.09</v>
      </c>
    </row>
    <row r="2005" spans="2:3">
      <c r="B2005" s="197">
        <v>43336</v>
      </c>
      <c r="C2005" s="198">
        <v>15969.8</v>
      </c>
    </row>
    <row r="2006" spans="2:3">
      <c r="B2006" s="197">
        <v>43335</v>
      </c>
      <c r="C2006" s="198">
        <v>16001.85</v>
      </c>
    </row>
    <row r="2007" spans="2:3">
      <c r="B2007" s="197">
        <v>43333</v>
      </c>
      <c r="C2007" s="198">
        <v>15985.48</v>
      </c>
    </row>
    <row r="2008" spans="2:3">
      <c r="B2008" s="197">
        <v>43332</v>
      </c>
      <c r="C2008" s="198">
        <v>15959.04</v>
      </c>
    </row>
    <row r="2009" spans="2:3">
      <c r="B2009" s="197">
        <v>43329</v>
      </c>
      <c r="C2009" s="198">
        <v>15845.64</v>
      </c>
    </row>
    <row r="2010" spans="2:3">
      <c r="B2010" s="197">
        <v>43328</v>
      </c>
      <c r="C2010" s="198">
        <v>15727.25</v>
      </c>
    </row>
    <row r="2011" spans="2:3">
      <c r="B2011" s="197">
        <v>43326</v>
      </c>
      <c r="C2011" s="198">
        <v>15796.36</v>
      </c>
    </row>
    <row r="2012" spans="2:3">
      <c r="B2012" s="197">
        <v>43325</v>
      </c>
      <c r="C2012" s="198">
        <v>15676.23</v>
      </c>
    </row>
    <row r="2013" spans="2:3">
      <c r="B2013" s="197">
        <v>43322</v>
      </c>
      <c r="C2013" s="198">
        <v>15776.32</v>
      </c>
    </row>
    <row r="2014" spans="2:3">
      <c r="B2014" s="197">
        <v>43321</v>
      </c>
      <c r="C2014" s="198">
        <v>15833.23</v>
      </c>
    </row>
    <row r="2015" spans="2:3">
      <c r="B2015" s="197">
        <v>43320</v>
      </c>
      <c r="C2015" s="198">
        <v>15803.64</v>
      </c>
    </row>
    <row r="2016" spans="2:3">
      <c r="B2016" s="197">
        <v>43319</v>
      </c>
      <c r="C2016" s="198">
        <v>15720.05</v>
      </c>
    </row>
    <row r="2017" spans="2:3">
      <c r="B2017" s="197">
        <v>43318</v>
      </c>
      <c r="C2017" s="198">
        <v>15716.78</v>
      </c>
    </row>
    <row r="2018" spans="2:3">
      <c r="B2018" s="197">
        <v>43315</v>
      </c>
      <c r="C2018" s="198">
        <v>15680.51</v>
      </c>
    </row>
    <row r="2019" spans="2:3">
      <c r="B2019" s="197">
        <v>43314</v>
      </c>
      <c r="C2019" s="198">
        <v>15520.25</v>
      </c>
    </row>
    <row r="2020" spans="2:3">
      <c r="B2020" s="197">
        <v>43313</v>
      </c>
      <c r="C2020" s="198">
        <v>15658.27</v>
      </c>
    </row>
    <row r="2021" spans="2:3">
      <c r="B2021" s="197">
        <v>43312</v>
      </c>
      <c r="C2021" s="198">
        <v>15672.47</v>
      </c>
    </row>
    <row r="2022" spans="2:3">
      <c r="B2022" s="197">
        <v>43311</v>
      </c>
      <c r="C2022" s="198">
        <v>15621.47</v>
      </c>
    </row>
    <row r="2023" spans="2:3">
      <c r="B2023" s="197">
        <v>43308</v>
      </c>
      <c r="C2023" s="198">
        <v>15564.19</v>
      </c>
    </row>
    <row r="2024" spans="2:3">
      <c r="B2024" s="197">
        <v>43307</v>
      </c>
      <c r="C2024" s="198">
        <v>15410.93</v>
      </c>
    </row>
    <row r="2025" spans="2:3">
      <c r="B2025" s="197">
        <v>43306</v>
      </c>
      <c r="C2025" s="198">
        <v>15358.72</v>
      </c>
    </row>
    <row r="2026" spans="2:3">
      <c r="B2026" s="197">
        <v>43305</v>
      </c>
      <c r="C2026" s="198">
        <v>15361.88</v>
      </c>
    </row>
    <row r="2027" spans="2:3">
      <c r="B2027" s="197">
        <v>43304</v>
      </c>
      <c r="C2027" s="198">
        <v>15293.5</v>
      </c>
    </row>
    <row r="2028" spans="2:3">
      <c r="B2028" s="197">
        <v>43301</v>
      </c>
      <c r="C2028" s="198">
        <v>15190.13</v>
      </c>
    </row>
    <row r="2029" spans="2:3">
      <c r="B2029" s="197">
        <v>43300</v>
      </c>
      <c r="C2029" s="198">
        <v>15116.83</v>
      </c>
    </row>
    <row r="2030" spans="2:3">
      <c r="B2030" s="197">
        <v>43299</v>
      </c>
      <c r="C2030" s="198">
        <v>15135.57</v>
      </c>
    </row>
    <row r="2031" spans="2:3">
      <c r="B2031" s="197">
        <v>43298</v>
      </c>
      <c r="C2031" s="198">
        <v>15172.31</v>
      </c>
    </row>
    <row r="2032" spans="2:3">
      <c r="B2032" s="197">
        <v>43297</v>
      </c>
      <c r="C2032" s="198">
        <v>15072.66</v>
      </c>
    </row>
    <row r="2033" spans="2:3">
      <c r="B2033" s="197">
        <v>43294</v>
      </c>
      <c r="C2033" s="198">
        <v>15184.88</v>
      </c>
    </row>
    <row r="2034" spans="2:3">
      <c r="B2034" s="197">
        <v>43293</v>
      </c>
      <c r="C2034" s="198">
        <v>15190.82</v>
      </c>
    </row>
    <row r="2035" spans="2:3">
      <c r="B2035" s="197">
        <v>43292</v>
      </c>
      <c r="C2035" s="198">
        <v>15085.15</v>
      </c>
    </row>
    <row r="2036" spans="2:3">
      <c r="B2036" s="197">
        <v>43291</v>
      </c>
      <c r="C2036" s="198">
        <v>15081.6</v>
      </c>
    </row>
    <row r="2037" spans="2:3">
      <c r="B2037" s="197">
        <v>43290</v>
      </c>
      <c r="C2037" s="198">
        <v>14951.2</v>
      </c>
    </row>
    <row r="2038" spans="2:3">
      <c r="B2038" s="197">
        <v>43287</v>
      </c>
      <c r="C2038" s="198">
        <v>14840.13</v>
      </c>
    </row>
    <row r="2039" spans="2:3">
      <c r="B2039" s="197">
        <v>43286</v>
      </c>
      <c r="C2039" s="198">
        <v>14808.54</v>
      </c>
    </row>
    <row r="2040" spans="2:3">
      <c r="B2040" s="197">
        <v>43285</v>
      </c>
      <c r="C2040" s="198">
        <v>14830.5</v>
      </c>
    </row>
    <row r="2041" spans="2:3">
      <c r="B2041" s="197">
        <v>43284</v>
      </c>
      <c r="C2041" s="198">
        <v>14734.11</v>
      </c>
    </row>
    <row r="2042" spans="2:3">
      <c r="B2042" s="197">
        <v>43283</v>
      </c>
      <c r="C2042" s="198">
        <v>14675.42</v>
      </c>
    </row>
    <row r="2043" spans="2:3">
      <c r="B2043" s="197">
        <v>43280</v>
      </c>
      <c r="C2043" s="198">
        <v>14753.91</v>
      </c>
    </row>
    <row r="2044" spans="2:3">
      <c r="B2044" s="197">
        <v>43279</v>
      </c>
      <c r="C2044" s="198">
        <v>14581.53</v>
      </c>
    </row>
    <row r="2045" spans="2:3">
      <c r="B2045" s="197">
        <v>43278</v>
      </c>
      <c r="C2045" s="198">
        <v>14694.16</v>
      </c>
    </row>
    <row r="2046" spans="2:3">
      <c r="B2046" s="197">
        <v>43277</v>
      </c>
      <c r="C2046" s="198">
        <v>14821.45</v>
      </c>
    </row>
    <row r="2047" spans="2:3">
      <c r="B2047" s="197">
        <v>43276</v>
      </c>
      <c r="C2047" s="198">
        <v>14812.28</v>
      </c>
    </row>
    <row r="2048" spans="2:3">
      <c r="B2048" s="197">
        <v>43273</v>
      </c>
      <c r="C2048" s="198">
        <v>14894.02</v>
      </c>
    </row>
    <row r="2049" spans="2:3">
      <c r="B2049" s="197">
        <v>43272</v>
      </c>
      <c r="C2049" s="198">
        <v>14782.87</v>
      </c>
    </row>
    <row r="2050" spans="2:3">
      <c r="B2050" s="197">
        <v>43271</v>
      </c>
      <c r="C2050" s="198">
        <v>14822.46</v>
      </c>
    </row>
    <row r="2051" spans="2:3">
      <c r="B2051" s="197">
        <v>43270</v>
      </c>
      <c r="C2051" s="198">
        <v>14737.7</v>
      </c>
    </row>
    <row r="2052" spans="2:3">
      <c r="B2052" s="197">
        <v>43269</v>
      </c>
      <c r="C2052" s="198">
        <v>14860.73</v>
      </c>
    </row>
    <row r="2053" spans="2:3">
      <c r="B2053" s="197">
        <v>43266</v>
      </c>
      <c r="C2053" s="198">
        <v>14885.3</v>
      </c>
    </row>
    <row r="2054" spans="2:3">
      <c r="B2054" s="197">
        <v>43265</v>
      </c>
      <c r="C2054" s="198">
        <v>14871.97</v>
      </c>
    </row>
    <row r="2055" spans="2:3">
      <c r="B2055" s="197">
        <v>43264</v>
      </c>
      <c r="C2055" s="198">
        <v>14917.68</v>
      </c>
    </row>
    <row r="2056" spans="2:3">
      <c r="B2056" s="197">
        <v>43263</v>
      </c>
      <c r="C2056" s="198">
        <v>14898.66</v>
      </c>
    </row>
    <row r="2057" spans="2:3">
      <c r="B2057" s="197">
        <v>43262</v>
      </c>
      <c r="C2057" s="198">
        <v>14821.8</v>
      </c>
    </row>
    <row r="2058" spans="2:3">
      <c r="B2058" s="197">
        <v>43259</v>
      </c>
      <c r="C2058" s="198">
        <v>14795.31</v>
      </c>
    </row>
    <row r="2059" spans="2:3">
      <c r="B2059" s="197">
        <v>43258</v>
      </c>
      <c r="C2059" s="198">
        <v>14796.24</v>
      </c>
    </row>
    <row r="2060" spans="2:3">
      <c r="B2060" s="197">
        <v>43257</v>
      </c>
      <c r="C2060" s="198">
        <v>14681.25</v>
      </c>
    </row>
    <row r="2061" spans="2:3">
      <c r="B2061" s="197">
        <v>43256</v>
      </c>
      <c r="C2061" s="198">
        <v>14555.52</v>
      </c>
    </row>
    <row r="2062" spans="2:3">
      <c r="B2062" s="197">
        <v>43255</v>
      </c>
      <c r="C2062" s="198">
        <v>14604.11</v>
      </c>
    </row>
    <row r="2063" spans="2:3">
      <c r="B2063" s="197">
        <v>43252</v>
      </c>
      <c r="C2063" s="198">
        <v>14695.4</v>
      </c>
    </row>
    <row r="2064" spans="2:3">
      <c r="B2064" s="197">
        <v>43251</v>
      </c>
      <c r="C2064" s="198">
        <v>14750.26</v>
      </c>
    </row>
    <row r="2065" spans="2:3">
      <c r="B2065" s="197">
        <v>43250</v>
      </c>
      <c r="C2065" s="198">
        <v>14568.75</v>
      </c>
    </row>
    <row r="2066" spans="2:3">
      <c r="B2066" s="197">
        <v>43249</v>
      </c>
      <c r="C2066" s="198">
        <v>14594.78</v>
      </c>
    </row>
    <row r="2067" spans="2:3">
      <c r="B2067" s="197">
        <v>43248</v>
      </c>
      <c r="C2067" s="198">
        <v>14670.76</v>
      </c>
    </row>
    <row r="2068" spans="2:3">
      <c r="B2068" s="197">
        <v>43245</v>
      </c>
      <c r="C2068" s="198">
        <v>14556.18</v>
      </c>
    </row>
    <row r="2069" spans="2:3">
      <c r="B2069" s="197">
        <v>43244</v>
      </c>
      <c r="C2069" s="198">
        <v>14415.65</v>
      </c>
    </row>
    <row r="2070" spans="2:3">
      <c r="B2070" s="197">
        <v>43243</v>
      </c>
      <c r="C2070" s="198">
        <v>14301.15</v>
      </c>
    </row>
    <row r="2071" spans="2:3">
      <c r="B2071" s="197">
        <v>43242</v>
      </c>
      <c r="C2071" s="198">
        <v>14446.97</v>
      </c>
    </row>
    <row r="2072" spans="2:3">
      <c r="B2072" s="197">
        <v>43241</v>
      </c>
      <c r="C2072" s="198">
        <v>14419.57</v>
      </c>
    </row>
    <row r="2073" spans="2:3">
      <c r="B2073" s="197">
        <v>43238</v>
      </c>
      <c r="C2073" s="198">
        <v>14528.82</v>
      </c>
    </row>
    <row r="2074" spans="2:3">
      <c r="B2074" s="197">
        <v>43237</v>
      </c>
      <c r="C2074" s="198">
        <v>14647.15</v>
      </c>
    </row>
    <row r="2075" spans="2:3">
      <c r="B2075" s="197">
        <v>43236</v>
      </c>
      <c r="C2075" s="198">
        <v>14727.26</v>
      </c>
    </row>
    <row r="2076" spans="2:3">
      <c r="B2076" s="197">
        <v>43235</v>
      </c>
      <c r="C2076" s="198">
        <v>14810.54</v>
      </c>
    </row>
    <row r="2077" spans="2:3">
      <c r="B2077" s="197">
        <v>43234</v>
      </c>
      <c r="C2077" s="198">
        <v>14817.01</v>
      </c>
    </row>
    <row r="2078" spans="2:3">
      <c r="B2078" s="197">
        <v>43231</v>
      </c>
      <c r="C2078" s="198">
        <v>14816.93</v>
      </c>
    </row>
    <row r="2079" spans="2:3">
      <c r="B2079" s="197">
        <v>43230</v>
      </c>
      <c r="C2079" s="198">
        <v>14693.55</v>
      </c>
    </row>
    <row r="2080" spans="2:3">
      <c r="B2080" s="197">
        <v>43229</v>
      </c>
      <c r="C2080" s="198">
        <v>14728.03</v>
      </c>
    </row>
    <row r="2081" spans="2:3">
      <c r="B2081" s="197">
        <v>43228</v>
      </c>
      <c r="C2081" s="198">
        <v>14694.93</v>
      </c>
    </row>
    <row r="2082" spans="2:3">
      <c r="B2082" s="197">
        <v>43227</v>
      </c>
      <c r="C2082" s="198">
        <v>14691.72</v>
      </c>
    </row>
    <row r="2083" spans="2:3">
      <c r="B2083" s="197">
        <v>43224</v>
      </c>
      <c r="C2083" s="198">
        <v>14558.42</v>
      </c>
    </row>
    <row r="2084" spans="2:3">
      <c r="B2084" s="197">
        <v>43223</v>
      </c>
      <c r="C2084" s="198">
        <v>14642.62</v>
      </c>
    </row>
    <row r="2085" spans="2:3">
      <c r="B2085" s="197">
        <v>43222</v>
      </c>
      <c r="C2085" s="198">
        <v>14695.26</v>
      </c>
    </row>
    <row r="2086" spans="2:3">
      <c r="B2086" s="197">
        <v>43220</v>
      </c>
      <c r="C2086" s="198">
        <v>14723.32</v>
      </c>
    </row>
    <row r="2087" spans="2:3">
      <c r="B2087" s="197">
        <v>43217</v>
      </c>
      <c r="C2087" s="198">
        <v>14658.83</v>
      </c>
    </row>
    <row r="2088" spans="2:3">
      <c r="B2088" s="197">
        <v>43216</v>
      </c>
      <c r="C2088" s="198">
        <v>14556.65</v>
      </c>
    </row>
    <row r="2089" spans="2:3">
      <c r="B2089" s="197">
        <v>43215</v>
      </c>
      <c r="C2089" s="198">
        <v>14491.88</v>
      </c>
    </row>
    <row r="2090" spans="2:3">
      <c r="B2090" s="197">
        <v>43214</v>
      </c>
      <c r="C2090" s="198">
        <v>14551.96</v>
      </c>
    </row>
    <row r="2091" spans="2:3">
      <c r="B2091" s="197">
        <v>43213</v>
      </c>
      <c r="C2091" s="198">
        <v>14511.28</v>
      </c>
    </row>
    <row r="2092" spans="2:3">
      <c r="B2092" s="197">
        <v>43210</v>
      </c>
      <c r="C2092" s="198">
        <v>14482.97</v>
      </c>
    </row>
    <row r="2093" spans="2:3">
      <c r="B2093" s="197">
        <v>43209</v>
      </c>
      <c r="C2093" s="198">
        <v>14484.7</v>
      </c>
    </row>
    <row r="2094" spans="2:3">
      <c r="B2094" s="197">
        <v>43208</v>
      </c>
      <c r="C2094" s="198">
        <v>14431.07</v>
      </c>
    </row>
    <row r="2095" spans="2:3">
      <c r="B2095" s="197">
        <v>43207</v>
      </c>
      <c r="C2095" s="198">
        <v>14461.97</v>
      </c>
    </row>
    <row r="2096" spans="2:3">
      <c r="B2096" s="197">
        <v>43206</v>
      </c>
      <c r="C2096" s="198">
        <v>14434.05</v>
      </c>
    </row>
    <row r="2097" spans="2:3">
      <c r="B2097" s="197">
        <v>43203</v>
      </c>
      <c r="C2097" s="198">
        <v>14368.56</v>
      </c>
    </row>
    <row r="2098" spans="2:3">
      <c r="B2098" s="197">
        <v>43202</v>
      </c>
      <c r="C2098" s="198">
        <v>14338.46</v>
      </c>
    </row>
    <row r="2099" spans="2:3">
      <c r="B2099" s="197">
        <v>43201</v>
      </c>
      <c r="C2099" s="198">
        <v>14281.6</v>
      </c>
    </row>
    <row r="2100" spans="2:3">
      <c r="B2100" s="197">
        <v>43200</v>
      </c>
      <c r="C2100" s="198">
        <v>14261.15</v>
      </c>
    </row>
    <row r="2101" spans="2:3">
      <c r="B2101" s="197">
        <v>43199</v>
      </c>
      <c r="C2101" s="198">
        <v>14229.77</v>
      </c>
    </row>
    <row r="2102" spans="2:3">
      <c r="B2102" s="197">
        <v>43196</v>
      </c>
      <c r="C2102" s="198">
        <v>14164.28</v>
      </c>
    </row>
    <row r="2103" spans="2:3">
      <c r="B2103" s="197">
        <v>43195</v>
      </c>
      <c r="C2103" s="198">
        <v>14155.47</v>
      </c>
    </row>
    <row r="2104" spans="2:3">
      <c r="B2104" s="197">
        <v>43194</v>
      </c>
      <c r="C2104" s="198">
        <v>13885.72</v>
      </c>
    </row>
    <row r="2105" spans="2:3">
      <c r="B2105" s="197">
        <v>43193</v>
      </c>
      <c r="C2105" s="198">
        <v>14045.55</v>
      </c>
    </row>
    <row r="2106" spans="2:3">
      <c r="B2106" s="197">
        <v>43192</v>
      </c>
      <c r="C2106" s="198">
        <v>14000.07</v>
      </c>
    </row>
    <row r="2107" spans="2:3">
      <c r="B2107" s="197">
        <v>43187</v>
      </c>
      <c r="C2107" s="198">
        <v>13865.57</v>
      </c>
    </row>
    <row r="2108" spans="2:3">
      <c r="B2108" s="197">
        <v>43186</v>
      </c>
      <c r="C2108" s="198">
        <v>13962.15</v>
      </c>
    </row>
    <row r="2109" spans="2:3">
      <c r="B2109" s="197">
        <v>43185</v>
      </c>
      <c r="C2109" s="198">
        <v>13888.82</v>
      </c>
    </row>
    <row r="2110" spans="2:3">
      <c r="B2110" s="197">
        <v>43182</v>
      </c>
      <c r="C2110" s="198">
        <v>13706.99</v>
      </c>
    </row>
    <row r="2111" spans="2:3">
      <c r="B2111" s="197">
        <v>43181</v>
      </c>
      <c r="C2111" s="198">
        <v>13867.01</v>
      </c>
    </row>
    <row r="2112" spans="2:3">
      <c r="B2112" s="197">
        <v>43180</v>
      </c>
      <c r="C2112" s="198">
        <v>13920.51</v>
      </c>
    </row>
    <row r="2113" spans="2:3">
      <c r="B2113" s="197">
        <v>43179</v>
      </c>
      <c r="C2113" s="198">
        <v>13878.17</v>
      </c>
    </row>
    <row r="2114" spans="2:3">
      <c r="B2114" s="197">
        <v>43178</v>
      </c>
      <c r="C2114" s="198">
        <v>13822.99</v>
      </c>
    </row>
    <row r="2115" spans="2:3">
      <c r="B2115" s="197">
        <v>43175</v>
      </c>
      <c r="C2115" s="198">
        <v>13961.14</v>
      </c>
    </row>
    <row r="2116" spans="2:3">
      <c r="B2116" s="197">
        <v>43174</v>
      </c>
      <c r="C2116" s="198">
        <v>14179.36</v>
      </c>
    </row>
    <row r="2117" spans="2:3">
      <c r="B2117" s="197">
        <v>43173</v>
      </c>
      <c r="C2117" s="198">
        <v>14248.81</v>
      </c>
    </row>
    <row r="2118" spans="2:3">
      <c r="B2118" s="197">
        <v>43172</v>
      </c>
      <c r="C2118" s="198">
        <v>14270.64</v>
      </c>
    </row>
    <row r="2119" spans="2:3">
      <c r="B2119" s="197">
        <v>43171</v>
      </c>
      <c r="C2119" s="198">
        <v>14260.92</v>
      </c>
    </row>
    <row r="2120" spans="2:3">
      <c r="B2120" s="197">
        <v>43168</v>
      </c>
      <c r="C2120" s="198">
        <v>13994.68</v>
      </c>
    </row>
    <row r="2121" spans="2:3">
      <c r="B2121" s="197">
        <v>43167</v>
      </c>
      <c r="C2121" s="198">
        <v>14016.3</v>
      </c>
    </row>
    <row r="2122" spans="2:3">
      <c r="B2122" s="197">
        <v>43166</v>
      </c>
      <c r="C2122" s="198">
        <v>13895.27</v>
      </c>
    </row>
    <row r="2123" spans="2:3">
      <c r="B2123" s="197">
        <v>43165</v>
      </c>
      <c r="C2123" s="198">
        <v>14025.34</v>
      </c>
    </row>
    <row r="2124" spans="2:3">
      <c r="B2124" s="197">
        <v>43164</v>
      </c>
      <c r="C2124" s="198">
        <v>14175.32</v>
      </c>
    </row>
    <row r="2125" spans="2:3">
      <c r="B2125" s="197">
        <v>43160</v>
      </c>
      <c r="C2125" s="198">
        <v>14311.52</v>
      </c>
    </row>
    <row r="2126" spans="2:3">
      <c r="B2126" s="197">
        <v>43159</v>
      </c>
      <c r="C2126" s="198">
        <v>14358.71</v>
      </c>
    </row>
    <row r="2127" spans="2:3">
      <c r="B2127" s="197">
        <v>43158</v>
      </c>
      <c r="C2127" s="198">
        <v>14438.9</v>
      </c>
    </row>
    <row r="2128" spans="2:3">
      <c r="B2128" s="197">
        <v>43157</v>
      </c>
      <c r="C2128" s="198">
        <v>14477.62</v>
      </c>
    </row>
    <row r="2129" spans="2:3">
      <c r="B2129" s="197">
        <v>43154</v>
      </c>
      <c r="C2129" s="198">
        <v>14352.4</v>
      </c>
    </row>
    <row r="2130" spans="2:3">
      <c r="B2130" s="197">
        <v>43153</v>
      </c>
      <c r="C2130" s="198">
        <v>14204.17</v>
      </c>
    </row>
    <row r="2131" spans="2:3">
      <c r="B2131" s="197">
        <v>43152</v>
      </c>
      <c r="C2131" s="198">
        <v>14220.48</v>
      </c>
    </row>
    <row r="2132" spans="2:3">
      <c r="B2132" s="197">
        <v>43151</v>
      </c>
      <c r="C2132" s="198">
        <v>14169.77</v>
      </c>
    </row>
    <row r="2133" spans="2:3">
      <c r="B2133" s="197">
        <v>43150</v>
      </c>
      <c r="C2133" s="198">
        <v>14194.28</v>
      </c>
    </row>
    <row r="2134" spans="2:3">
      <c r="B2134" s="197">
        <v>43147</v>
      </c>
      <c r="C2134" s="198">
        <v>14295.41</v>
      </c>
    </row>
    <row r="2135" spans="2:3">
      <c r="B2135" s="197">
        <v>43146</v>
      </c>
      <c r="C2135" s="198">
        <v>14422.85</v>
      </c>
    </row>
    <row r="2136" spans="2:3">
      <c r="B2136" s="197">
        <v>43145</v>
      </c>
      <c r="C2136" s="198">
        <v>14359.35</v>
      </c>
    </row>
    <row r="2137" spans="2:3">
      <c r="B2137" s="197">
        <v>43143</v>
      </c>
      <c r="C2137" s="198">
        <v>14412.46</v>
      </c>
    </row>
    <row r="2138" spans="2:3">
      <c r="B2138" s="197">
        <v>43140</v>
      </c>
      <c r="C2138" s="198">
        <v>14296.5</v>
      </c>
    </row>
    <row r="2139" spans="2:3">
      <c r="B2139" s="197">
        <v>43139</v>
      </c>
      <c r="C2139" s="198">
        <v>14463.16</v>
      </c>
    </row>
    <row r="2140" spans="2:3">
      <c r="B2140" s="197">
        <v>43138</v>
      </c>
      <c r="C2140" s="198">
        <v>14317.57</v>
      </c>
    </row>
    <row r="2141" spans="2:3">
      <c r="B2141" s="197">
        <v>43137</v>
      </c>
      <c r="C2141" s="198">
        <v>14344.02</v>
      </c>
    </row>
    <row r="2142" spans="2:3">
      <c r="B2142" s="197">
        <v>43136</v>
      </c>
      <c r="C2142" s="198">
        <v>14574</v>
      </c>
    </row>
    <row r="2143" spans="2:3">
      <c r="B2143" s="197">
        <v>43133</v>
      </c>
      <c r="C2143" s="198">
        <v>14702.49</v>
      </c>
    </row>
    <row r="2144" spans="2:3">
      <c r="B2144" s="197">
        <v>43132</v>
      </c>
      <c r="C2144" s="198">
        <v>15052.72</v>
      </c>
    </row>
    <row r="2145" spans="2:3">
      <c r="B2145" s="197">
        <v>43131</v>
      </c>
      <c r="C2145" s="198">
        <v>15065.82</v>
      </c>
    </row>
    <row r="2146" spans="2:3">
      <c r="B2146" s="197">
        <v>43130</v>
      </c>
      <c r="C2146" s="198">
        <v>15095.42</v>
      </c>
    </row>
    <row r="2147" spans="2:3">
      <c r="B2147" s="197">
        <v>43129</v>
      </c>
      <c r="C2147" s="198">
        <v>15204.42</v>
      </c>
    </row>
    <row r="2148" spans="2:3">
      <c r="B2148" s="197">
        <v>43125</v>
      </c>
      <c r="C2148" s="198">
        <v>15121</v>
      </c>
    </row>
    <row r="2149" spans="2:3">
      <c r="B2149" s="197">
        <v>43124</v>
      </c>
      <c r="C2149" s="198">
        <v>15143.35</v>
      </c>
    </row>
    <row r="2150" spans="2:3">
      <c r="B2150" s="197">
        <v>43123</v>
      </c>
      <c r="C2150" s="198">
        <v>15140.24</v>
      </c>
    </row>
    <row r="2151" spans="2:3">
      <c r="B2151" s="197">
        <v>43122</v>
      </c>
      <c r="C2151" s="198">
        <v>14979.72</v>
      </c>
    </row>
    <row r="2152" spans="2:3">
      <c r="B2152" s="197">
        <v>43119</v>
      </c>
      <c r="C2152" s="198">
        <v>14880.8</v>
      </c>
    </row>
    <row r="2153" spans="2:3">
      <c r="B2153" s="197">
        <v>43118</v>
      </c>
      <c r="C2153" s="198">
        <v>14774.67</v>
      </c>
    </row>
    <row r="2154" spans="2:3">
      <c r="B2154" s="197">
        <v>43117</v>
      </c>
      <c r="C2154" s="198">
        <v>14734.07</v>
      </c>
    </row>
    <row r="2155" spans="2:3">
      <c r="B2155" s="197">
        <v>43116</v>
      </c>
      <c r="C2155" s="198">
        <v>14613.79</v>
      </c>
    </row>
    <row r="2156" spans="2:3">
      <c r="B2156" s="197">
        <v>43115</v>
      </c>
      <c r="C2156" s="198">
        <v>14669.9</v>
      </c>
    </row>
    <row r="2157" spans="2:3">
      <c r="B2157" s="197">
        <v>43112</v>
      </c>
      <c r="C2157" s="198">
        <v>14587.54</v>
      </c>
    </row>
    <row r="2158" spans="2:3">
      <c r="B2158" s="197">
        <v>43111</v>
      </c>
      <c r="C2158" s="198">
        <v>14546.49</v>
      </c>
    </row>
    <row r="2159" spans="2:3">
      <c r="B2159" s="197">
        <v>43110</v>
      </c>
      <c r="C2159" s="198">
        <v>14520.56</v>
      </c>
    </row>
    <row r="2160" spans="2:3">
      <c r="B2160" s="197">
        <v>43109</v>
      </c>
      <c r="C2160" s="198">
        <v>14527.15</v>
      </c>
    </row>
    <row r="2161" spans="2:3">
      <c r="B2161" s="197">
        <v>43108</v>
      </c>
      <c r="C2161" s="198">
        <v>14508.81</v>
      </c>
    </row>
    <row r="2162" spans="2:3">
      <c r="B2162" s="197">
        <v>43105</v>
      </c>
      <c r="C2162" s="198">
        <v>14420.42</v>
      </c>
    </row>
    <row r="2163" spans="2:3">
      <c r="B2163" s="197">
        <v>43104</v>
      </c>
      <c r="C2163" s="198">
        <v>14346.59</v>
      </c>
    </row>
    <row r="2164" spans="2:3">
      <c r="B2164" s="197">
        <v>43103</v>
      </c>
      <c r="C2164" s="198">
        <v>14262.48</v>
      </c>
    </row>
    <row r="2165" spans="2:3">
      <c r="B2165" s="197">
        <v>43102</v>
      </c>
      <c r="C2165" s="198">
        <v>14261.1</v>
      </c>
    </row>
    <row r="2166" spans="2:3">
      <c r="B2166" s="197">
        <v>43101</v>
      </c>
      <c r="C2166" s="198">
        <v>14252.02</v>
      </c>
    </row>
    <row r="2167" spans="2:3">
      <c r="B2167" s="197">
        <v>43098</v>
      </c>
      <c r="C2167" s="198">
        <v>14381.92</v>
      </c>
    </row>
    <row r="2168" spans="2:3">
      <c r="B2168" s="197">
        <v>43097</v>
      </c>
      <c r="C2168" s="198">
        <v>14309.85</v>
      </c>
    </row>
    <row r="2169" spans="2:3">
      <c r="B2169" s="197">
        <v>43096</v>
      </c>
      <c r="C2169" s="198">
        <v>14327.42</v>
      </c>
    </row>
    <row r="2170" spans="2:3">
      <c r="B2170" s="197">
        <v>43095</v>
      </c>
      <c r="C2170" s="198">
        <v>14383.04</v>
      </c>
    </row>
    <row r="2171" spans="2:3">
      <c r="B2171" s="197">
        <v>43091</v>
      </c>
      <c r="C2171" s="198">
        <v>14330.49</v>
      </c>
    </row>
    <row r="2172" spans="2:3">
      <c r="B2172" s="197">
        <v>43090</v>
      </c>
      <c r="C2172" s="198">
        <v>14258.49</v>
      </c>
    </row>
    <row r="2173" spans="2:3">
      <c r="B2173" s="197">
        <v>43089</v>
      </c>
      <c r="C2173" s="198">
        <v>14263.81</v>
      </c>
    </row>
    <row r="2174" spans="2:3">
      <c r="B2174" s="197">
        <v>43088</v>
      </c>
      <c r="C2174" s="198">
        <v>14289.76</v>
      </c>
    </row>
    <row r="2175" spans="2:3">
      <c r="B2175" s="197">
        <v>43087</v>
      </c>
      <c r="C2175" s="198">
        <v>14188.11</v>
      </c>
    </row>
    <row r="2176" spans="2:3">
      <c r="B2176" s="197">
        <v>43084</v>
      </c>
      <c r="C2176" s="198">
        <v>14112.3</v>
      </c>
    </row>
    <row r="2177" spans="2:3">
      <c r="B2177" s="197">
        <v>43083</v>
      </c>
      <c r="C2177" s="198">
        <v>14001.49</v>
      </c>
    </row>
    <row r="2178" spans="2:3">
      <c r="B2178" s="197">
        <v>43082</v>
      </c>
      <c r="C2178" s="198">
        <v>13920.69</v>
      </c>
    </row>
    <row r="2179" spans="2:3">
      <c r="B2179" s="197">
        <v>43081</v>
      </c>
      <c r="C2179" s="198">
        <v>13985.11</v>
      </c>
    </row>
    <row r="2180" spans="2:3">
      <c r="B2180" s="197">
        <v>43080</v>
      </c>
      <c r="C2180" s="198">
        <v>14097.29</v>
      </c>
    </row>
    <row r="2181" spans="2:3">
      <c r="B2181" s="197">
        <v>43077</v>
      </c>
      <c r="C2181" s="198">
        <v>14019.95</v>
      </c>
    </row>
    <row r="2182" spans="2:3">
      <c r="B2182" s="197">
        <v>43076</v>
      </c>
      <c r="C2182" s="198">
        <v>13884.82</v>
      </c>
    </row>
    <row r="2183" spans="2:3">
      <c r="B2183" s="197">
        <v>43075</v>
      </c>
      <c r="C2183" s="198">
        <v>13717.36</v>
      </c>
    </row>
    <row r="2184" spans="2:3">
      <c r="B2184" s="197">
        <v>43074</v>
      </c>
      <c r="C2184" s="198">
        <v>13818.67</v>
      </c>
    </row>
    <row r="2185" spans="2:3">
      <c r="B2185" s="197">
        <v>43073</v>
      </c>
      <c r="C2185" s="198">
        <v>13831.66</v>
      </c>
    </row>
    <row r="2186" spans="2:3">
      <c r="B2186" s="197">
        <v>43070</v>
      </c>
      <c r="C2186" s="198">
        <v>13823.52</v>
      </c>
    </row>
    <row r="2187" spans="2:3">
      <c r="B2187" s="197">
        <v>43069</v>
      </c>
      <c r="C2187" s="198">
        <v>13966.58</v>
      </c>
    </row>
    <row r="2188" spans="2:3">
      <c r="B2188" s="197">
        <v>43068</v>
      </c>
      <c r="C2188" s="198">
        <v>14150.6</v>
      </c>
    </row>
    <row r="2189" spans="2:3">
      <c r="B2189" s="197">
        <v>43067</v>
      </c>
      <c r="C2189" s="198">
        <v>14162.79</v>
      </c>
    </row>
    <row r="2190" spans="2:3">
      <c r="B2190" s="197">
        <v>43066</v>
      </c>
      <c r="C2190" s="198">
        <v>14202.82</v>
      </c>
    </row>
    <row r="2191" spans="2:3">
      <c r="B2191" s="197">
        <v>43063</v>
      </c>
      <c r="C2191" s="198">
        <v>14189.41</v>
      </c>
    </row>
    <row r="2192" spans="2:3">
      <c r="B2192" s="197">
        <v>43062</v>
      </c>
      <c r="C2192" s="198">
        <v>14133.47</v>
      </c>
    </row>
    <row r="2193" spans="2:3">
      <c r="B2193" s="197">
        <v>43061</v>
      </c>
      <c r="C2193" s="198">
        <v>14124.68</v>
      </c>
    </row>
    <row r="2194" spans="2:3">
      <c r="B2194" s="197">
        <v>43060</v>
      </c>
      <c r="C2194" s="198">
        <v>14103.64</v>
      </c>
    </row>
    <row r="2195" spans="2:3">
      <c r="B2195" s="197">
        <v>43059</v>
      </c>
      <c r="C2195" s="198">
        <v>14065.05</v>
      </c>
    </row>
    <row r="2196" spans="2:3">
      <c r="B2196" s="197">
        <v>43056</v>
      </c>
      <c r="C2196" s="198">
        <v>14044.32</v>
      </c>
    </row>
    <row r="2197" spans="2:3">
      <c r="B2197" s="197">
        <v>43055</v>
      </c>
      <c r="C2197" s="198">
        <v>13950.33</v>
      </c>
    </row>
    <row r="2198" spans="2:3">
      <c r="B2198" s="197">
        <v>43054</v>
      </c>
      <c r="C2198" s="198">
        <v>13818.25</v>
      </c>
    </row>
    <row r="2199" spans="2:3">
      <c r="B2199" s="197">
        <v>43053</v>
      </c>
      <c r="C2199" s="198">
        <v>13911.87</v>
      </c>
    </row>
    <row r="2200" spans="2:3">
      <c r="B2200" s="197">
        <v>43052</v>
      </c>
      <c r="C2200" s="198">
        <v>13964.26</v>
      </c>
    </row>
    <row r="2201" spans="2:3">
      <c r="B2201" s="197">
        <v>43049</v>
      </c>
      <c r="C2201" s="198">
        <v>14096.45</v>
      </c>
    </row>
    <row r="2202" spans="2:3">
      <c r="B2202" s="197">
        <v>43048</v>
      </c>
      <c r="C2202" s="198">
        <v>14078.98</v>
      </c>
    </row>
    <row r="2203" spans="2:3">
      <c r="B2203" s="197">
        <v>43047</v>
      </c>
      <c r="C2203" s="198">
        <v>14071.02</v>
      </c>
    </row>
    <row r="2204" spans="2:3">
      <c r="B2204" s="197">
        <v>43046</v>
      </c>
      <c r="C2204" s="198">
        <v>14135.23</v>
      </c>
    </row>
    <row r="2205" spans="2:3">
      <c r="B2205" s="197">
        <v>43045</v>
      </c>
      <c r="C2205" s="198">
        <v>14274.03</v>
      </c>
    </row>
    <row r="2206" spans="2:3">
      <c r="B2206" s="197">
        <v>43042</v>
      </c>
      <c r="C2206" s="198">
        <v>14274.97</v>
      </c>
    </row>
    <row r="2207" spans="2:3">
      <c r="B2207" s="197">
        <v>43041</v>
      </c>
      <c r="C2207" s="198">
        <v>14232.79</v>
      </c>
    </row>
    <row r="2208" spans="2:3">
      <c r="B2208" s="197">
        <v>43040</v>
      </c>
      <c r="C2208" s="198">
        <v>14255.58</v>
      </c>
    </row>
    <row r="2209" spans="2:3">
      <c r="B2209" s="197">
        <v>43039</v>
      </c>
      <c r="C2209" s="198">
        <v>14108.55</v>
      </c>
    </row>
    <row r="2210" spans="2:3">
      <c r="B2210" s="197">
        <v>43038</v>
      </c>
      <c r="C2210" s="198">
        <v>14137.62</v>
      </c>
    </row>
    <row r="2211" spans="2:3">
      <c r="B2211" s="197">
        <v>43035</v>
      </c>
      <c r="C2211" s="198">
        <v>14082.21</v>
      </c>
    </row>
    <row r="2212" spans="2:3">
      <c r="B2212" s="197">
        <v>43034</v>
      </c>
      <c r="C2212" s="198">
        <v>14110.5</v>
      </c>
    </row>
    <row r="2213" spans="2:3">
      <c r="B2213" s="197">
        <v>43033</v>
      </c>
      <c r="C2213" s="198">
        <v>14044.44</v>
      </c>
    </row>
    <row r="2214" spans="2:3">
      <c r="B2214" s="197">
        <v>43032</v>
      </c>
      <c r="C2214" s="198">
        <v>13923.61</v>
      </c>
    </row>
    <row r="2215" spans="2:3">
      <c r="B2215" s="197">
        <v>43031</v>
      </c>
      <c r="C2215" s="198">
        <v>13892.48</v>
      </c>
    </row>
    <row r="2216" spans="2:3">
      <c r="B2216" s="197">
        <v>43027</v>
      </c>
      <c r="C2216" s="198">
        <v>13840.24</v>
      </c>
    </row>
    <row r="2217" spans="2:3">
      <c r="B2217" s="197">
        <v>43026</v>
      </c>
      <c r="C2217" s="198">
        <v>13927.92</v>
      </c>
    </row>
    <row r="2218" spans="2:3">
      <c r="B2218" s="197">
        <v>43025</v>
      </c>
      <c r="C2218" s="198">
        <v>13960.09</v>
      </c>
    </row>
    <row r="2219" spans="2:3">
      <c r="B2219" s="197">
        <v>43024</v>
      </c>
      <c r="C2219" s="198">
        <v>13955.22</v>
      </c>
    </row>
    <row r="2220" spans="2:3">
      <c r="B2220" s="197">
        <v>43021</v>
      </c>
      <c r="C2220" s="198">
        <v>13868.7</v>
      </c>
    </row>
    <row r="2221" spans="2:3">
      <c r="B2221" s="197">
        <v>43020</v>
      </c>
      <c r="C2221" s="198">
        <v>13771.84</v>
      </c>
    </row>
    <row r="2222" spans="2:3">
      <c r="B2222" s="197">
        <v>43019</v>
      </c>
      <c r="C2222" s="198">
        <v>13619.62</v>
      </c>
    </row>
    <row r="2223" spans="2:3">
      <c r="B2223" s="197">
        <v>43018</v>
      </c>
      <c r="C2223" s="198">
        <v>13663.44</v>
      </c>
    </row>
    <row r="2224" spans="2:3">
      <c r="B2224" s="197">
        <v>43017</v>
      </c>
      <c r="C2224" s="198">
        <v>13625</v>
      </c>
    </row>
    <row r="2225" spans="2:3">
      <c r="B2225" s="197">
        <v>43014</v>
      </c>
      <c r="C2225" s="198">
        <v>13612.63</v>
      </c>
    </row>
    <row r="2226" spans="2:3">
      <c r="B2226" s="197">
        <v>43013</v>
      </c>
      <c r="C2226" s="198">
        <v>13488.48</v>
      </c>
    </row>
    <row r="2227" spans="2:3">
      <c r="B2227" s="197">
        <v>43012</v>
      </c>
      <c r="C2227" s="198">
        <v>13524.27</v>
      </c>
    </row>
    <row r="2228" spans="2:3">
      <c r="B2228" s="197">
        <v>43011</v>
      </c>
      <c r="C2228" s="198">
        <v>13448.66</v>
      </c>
    </row>
    <row r="2229" spans="2:3">
      <c r="B2229" s="197">
        <v>43007</v>
      </c>
      <c r="C2229" s="198">
        <v>13351.99</v>
      </c>
    </row>
    <row r="2230" spans="2:3">
      <c r="B2230" s="197">
        <v>43006</v>
      </c>
      <c r="C2230" s="198">
        <v>13325.16</v>
      </c>
    </row>
    <row r="2231" spans="2:3">
      <c r="B2231" s="197">
        <v>43005</v>
      </c>
      <c r="C2231" s="198">
        <v>13279.85</v>
      </c>
    </row>
    <row r="2232" spans="2:3">
      <c r="B2232" s="197">
        <v>43004</v>
      </c>
      <c r="C2232" s="198">
        <v>13465.07</v>
      </c>
    </row>
    <row r="2233" spans="2:3">
      <c r="B2233" s="197">
        <v>43003</v>
      </c>
      <c r="C2233" s="198">
        <v>13466.53</v>
      </c>
    </row>
    <row r="2234" spans="2:3">
      <c r="B2234" s="197">
        <v>43000</v>
      </c>
      <c r="C2234" s="198">
        <v>13591.79</v>
      </c>
    </row>
    <row r="2235" spans="2:3">
      <c r="B2235" s="197">
        <v>42999</v>
      </c>
      <c r="C2235" s="198">
        <v>13806.6</v>
      </c>
    </row>
    <row r="2236" spans="2:3">
      <c r="B2236" s="197">
        <v>42998</v>
      </c>
      <c r="C2236" s="198">
        <v>13832.04</v>
      </c>
    </row>
    <row r="2237" spans="2:3">
      <c r="B2237" s="197">
        <v>42997</v>
      </c>
      <c r="C2237" s="198">
        <v>13840.78</v>
      </c>
    </row>
    <row r="2238" spans="2:3">
      <c r="B2238" s="197">
        <v>42996</v>
      </c>
      <c r="C2238" s="198">
        <v>13848.34</v>
      </c>
    </row>
    <row r="2239" spans="2:3">
      <c r="B2239" s="197">
        <v>42993</v>
      </c>
      <c r="C2239" s="198">
        <v>13754.62</v>
      </c>
    </row>
    <row r="2240" spans="2:3">
      <c r="B2240" s="197">
        <v>42992</v>
      </c>
      <c r="C2240" s="198">
        <v>13756.28</v>
      </c>
    </row>
    <row r="2241" spans="2:3">
      <c r="B2241" s="197">
        <v>42991</v>
      </c>
      <c r="C2241" s="198">
        <v>13746.3</v>
      </c>
    </row>
    <row r="2242" spans="2:3">
      <c r="B2242" s="197">
        <v>42990</v>
      </c>
      <c r="C2242" s="198">
        <v>13765.03</v>
      </c>
    </row>
    <row r="2243" spans="2:3">
      <c r="B2243" s="197">
        <v>42989</v>
      </c>
      <c r="C2243" s="198">
        <v>13646.37</v>
      </c>
    </row>
    <row r="2244" spans="2:3">
      <c r="B2244" s="197">
        <v>42986</v>
      </c>
      <c r="C2244" s="198">
        <v>13546.57</v>
      </c>
    </row>
    <row r="2245" spans="2:3">
      <c r="B2245" s="197">
        <v>42985</v>
      </c>
      <c r="C2245" s="198">
        <v>13539.91</v>
      </c>
    </row>
    <row r="2246" spans="2:3">
      <c r="B2246" s="197">
        <v>42984</v>
      </c>
      <c r="C2246" s="198">
        <v>13519.3</v>
      </c>
    </row>
    <row r="2247" spans="2:3">
      <c r="B2247" s="197">
        <v>42983</v>
      </c>
      <c r="C2247" s="198">
        <v>13568.38</v>
      </c>
    </row>
    <row r="2248" spans="2:3">
      <c r="B2248" s="197">
        <v>42982</v>
      </c>
      <c r="C2248" s="198">
        <v>13514.16</v>
      </c>
    </row>
    <row r="2249" spans="2:3">
      <c r="B2249" s="197">
        <v>42979</v>
      </c>
      <c r="C2249" s="198">
        <v>13598.09</v>
      </c>
    </row>
    <row r="2250" spans="2:3">
      <c r="B2250" s="197">
        <v>42978</v>
      </c>
      <c r="C2250" s="198">
        <v>13521.03</v>
      </c>
    </row>
    <row r="2251" spans="2:3">
      <c r="B2251" s="197">
        <v>42977</v>
      </c>
      <c r="C2251" s="198">
        <v>13474.73</v>
      </c>
    </row>
    <row r="2252" spans="2:3">
      <c r="B2252" s="197">
        <v>42976</v>
      </c>
      <c r="C2252" s="198">
        <v>13354.29</v>
      </c>
    </row>
    <row r="2253" spans="2:3">
      <c r="B2253" s="197">
        <v>42975</v>
      </c>
      <c r="C2253" s="198">
        <v>13513.48</v>
      </c>
    </row>
    <row r="2254" spans="2:3">
      <c r="B2254" s="197">
        <v>42971</v>
      </c>
      <c r="C2254" s="198">
        <v>13437.45</v>
      </c>
    </row>
    <row r="2255" spans="2:3">
      <c r="B2255" s="197">
        <v>42970</v>
      </c>
      <c r="C2255" s="198">
        <v>13427.67</v>
      </c>
    </row>
    <row r="2256" spans="2:3">
      <c r="B2256" s="197">
        <v>42969</v>
      </c>
      <c r="C2256" s="198">
        <v>13309.14</v>
      </c>
    </row>
    <row r="2257" spans="2:3">
      <c r="B2257" s="197">
        <v>42968</v>
      </c>
      <c r="C2257" s="198">
        <v>13293.88</v>
      </c>
    </row>
    <row r="2258" spans="2:3">
      <c r="B2258" s="197">
        <v>42965</v>
      </c>
      <c r="C2258" s="198">
        <v>13407.07</v>
      </c>
    </row>
    <row r="2259" spans="2:3">
      <c r="B2259" s="197">
        <v>42964</v>
      </c>
      <c r="C2259" s="198">
        <v>13497.69</v>
      </c>
    </row>
    <row r="2260" spans="2:3">
      <c r="B2260" s="197">
        <v>42963</v>
      </c>
      <c r="C2260" s="198">
        <v>13488.33</v>
      </c>
    </row>
    <row r="2261" spans="2:3">
      <c r="B2261" s="197">
        <v>42961</v>
      </c>
      <c r="C2261" s="198">
        <v>13347.75</v>
      </c>
    </row>
    <row r="2262" spans="2:3">
      <c r="B2262" s="197">
        <v>42958</v>
      </c>
      <c r="C2262" s="198">
        <v>13234.2</v>
      </c>
    </row>
    <row r="2263" spans="2:3">
      <c r="B2263" s="197">
        <v>42957</v>
      </c>
      <c r="C2263" s="198">
        <v>13377.05</v>
      </c>
    </row>
    <row r="2264" spans="2:3">
      <c r="B2264" s="197">
        <v>42956</v>
      </c>
      <c r="C2264" s="198">
        <v>13495.81</v>
      </c>
    </row>
    <row r="2265" spans="2:3">
      <c r="B2265" s="197">
        <v>42955</v>
      </c>
      <c r="C2265" s="198">
        <v>13591.81</v>
      </c>
    </row>
    <row r="2266" spans="2:3">
      <c r="B2266" s="197">
        <v>42954</v>
      </c>
      <c r="C2266" s="198">
        <v>13699.21</v>
      </c>
    </row>
    <row r="2267" spans="2:3">
      <c r="B2267" s="197">
        <v>42951</v>
      </c>
      <c r="C2267" s="198">
        <v>13711.47</v>
      </c>
    </row>
    <row r="2268" spans="2:3">
      <c r="B2268" s="197">
        <v>42950</v>
      </c>
      <c r="C2268" s="198">
        <v>13639.66</v>
      </c>
    </row>
    <row r="2269" spans="2:3">
      <c r="B2269" s="197">
        <v>42949</v>
      </c>
      <c r="C2269" s="198">
        <v>13731.63</v>
      </c>
    </row>
    <row r="2270" spans="2:3">
      <c r="B2270" s="197">
        <v>42948</v>
      </c>
      <c r="C2270" s="198">
        <v>13775.33</v>
      </c>
    </row>
    <row r="2271" spans="2:3">
      <c r="B2271" s="197">
        <v>42947</v>
      </c>
      <c r="C2271" s="198">
        <v>13724.19</v>
      </c>
    </row>
    <row r="2272" spans="2:3">
      <c r="B2272" s="197">
        <v>42944</v>
      </c>
      <c r="C2272" s="198">
        <v>13638.1</v>
      </c>
    </row>
    <row r="2273" spans="2:3">
      <c r="B2273" s="197">
        <v>42943</v>
      </c>
      <c r="C2273" s="198">
        <v>13646.34</v>
      </c>
    </row>
    <row r="2274" spans="2:3">
      <c r="B2274" s="197">
        <v>42942</v>
      </c>
      <c r="C2274" s="198">
        <v>13644.46</v>
      </c>
    </row>
    <row r="2275" spans="2:3">
      <c r="B2275" s="197">
        <v>42941</v>
      </c>
      <c r="C2275" s="198">
        <v>13567.66</v>
      </c>
    </row>
    <row r="2276" spans="2:3">
      <c r="B2276" s="197">
        <v>42940</v>
      </c>
      <c r="C2276" s="198">
        <v>13569.88</v>
      </c>
    </row>
    <row r="2277" spans="2:3">
      <c r="B2277" s="197">
        <v>42937</v>
      </c>
      <c r="C2277" s="198">
        <v>13498.25</v>
      </c>
    </row>
    <row r="2278" spans="2:3">
      <c r="B2278" s="197">
        <v>42936</v>
      </c>
      <c r="C2278" s="198">
        <v>13441.11</v>
      </c>
    </row>
    <row r="2279" spans="2:3">
      <c r="B2279" s="197">
        <v>42935</v>
      </c>
      <c r="C2279" s="198">
        <v>13473.52</v>
      </c>
    </row>
    <row r="2280" spans="2:3">
      <c r="B2280" s="197">
        <v>42934</v>
      </c>
      <c r="C2280" s="198">
        <v>13374.92</v>
      </c>
    </row>
    <row r="2281" spans="2:3">
      <c r="B2281" s="197">
        <v>42933</v>
      </c>
      <c r="C2281" s="198">
        <v>13494.64</v>
      </c>
    </row>
    <row r="2282" spans="2:3">
      <c r="B2282" s="197">
        <v>42930</v>
      </c>
      <c r="C2282" s="198">
        <v>13453.49</v>
      </c>
    </row>
    <row r="2283" spans="2:3">
      <c r="B2283" s="197">
        <v>42929</v>
      </c>
      <c r="C2283" s="198">
        <v>13452.22</v>
      </c>
    </row>
    <row r="2284" spans="2:3">
      <c r="B2284" s="197">
        <v>42928</v>
      </c>
      <c r="C2284" s="198">
        <v>13340.24</v>
      </c>
    </row>
    <row r="2285" spans="2:3">
      <c r="B2285" s="197">
        <v>42927</v>
      </c>
      <c r="C2285" s="198">
        <v>13299.17</v>
      </c>
    </row>
    <row r="2286" spans="2:3">
      <c r="B2286" s="197">
        <v>42926</v>
      </c>
      <c r="C2286" s="198">
        <v>13278.81</v>
      </c>
    </row>
    <row r="2287" spans="2:3">
      <c r="B2287" s="197">
        <v>42923</v>
      </c>
      <c r="C2287" s="198">
        <v>13135.35</v>
      </c>
    </row>
    <row r="2288" spans="2:3">
      <c r="B2288" s="197">
        <v>42922</v>
      </c>
      <c r="C2288" s="198">
        <v>13147.27</v>
      </c>
    </row>
    <row r="2289" spans="2:3">
      <c r="B2289" s="197">
        <v>42921</v>
      </c>
      <c r="C2289" s="198">
        <v>13091.36</v>
      </c>
    </row>
    <row r="2290" spans="2:3">
      <c r="B2290" s="197">
        <v>42920</v>
      </c>
      <c r="C2290" s="198">
        <v>13057.86</v>
      </c>
    </row>
    <row r="2291" spans="2:3">
      <c r="B2291" s="197">
        <v>42919</v>
      </c>
      <c r="C2291" s="198">
        <v>13060.15</v>
      </c>
    </row>
    <row r="2292" spans="2:3">
      <c r="B2292" s="197">
        <v>42916</v>
      </c>
      <c r="C2292" s="198">
        <v>12932.33</v>
      </c>
    </row>
    <row r="2293" spans="2:3">
      <c r="B2293" s="197">
        <v>42915</v>
      </c>
      <c r="C2293" s="198">
        <v>12908.13</v>
      </c>
    </row>
    <row r="2294" spans="2:3">
      <c r="B2294" s="197">
        <v>42914</v>
      </c>
      <c r="C2294" s="198">
        <v>12882.7</v>
      </c>
    </row>
    <row r="2295" spans="2:3">
      <c r="B2295" s="197">
        <v>42913</v>
      </c>
      <c r="C2295" s="198">
        <v>12910.01</v>
      </c>
    </row>
    <row r="2296" spans="2:3">
      <c r="B2296" s="197">
        <v>42909</v>
      </c>
      <c r="C2296" s="198">
        <v>12996.3</v>
      </c>
    </row>
    <row r="2297" spans="2:3">
      <c r="B2297" s="197">
        <v>42908</v>
      </c>
      <c r="C2297" s="198">
        <v>13070.98</v>
      </c>
    </row>
    <row r="2298" spans="2:3">
      <c r="B2298" s="197">
        <v>42907</v>
      </c>
      <c r="C2298" s="198">
        <v>13072.91</v>
      </c>
    </row>
    <row r="2299" spans="2:3">
      <c r="B2299" s="197">
        <v>42906</v>
      </c>
      <c r="C2299" s="198">
        <v>13072.98</v>
      </c>
    </row>
    <row r="2300" spans="2:3">
      <c r="B2300" s="197">
        <v>42905</v>
      </c>
      <c r="C2300" s="198">
        <v>13100.15</v>
      </c>
    </row>
    <row r="2301" spans="2:3">
      <c r="B2301" s="197">
        <v>42902</v>
      </c>
      <c r="C2301" s="198">
        <v>13005.86</v>
      </c>
    </row>
    <row r="2302" spans="2:3">
      <c r="B2302" s="197">
        <v>42901</v>
      </c>
      <c r="C2302" s="198">
        <v>12992.34</v>
      </c>
    </row>
    <row r="2303" spans="2:3">
      <c r="B2303" s="197">
        <v>42900</v>
      </c>
      <c r="C2303" s="198">
        <v>13045.44</v>
      </c>
    </row>
    <row r="2304" spans="2:3">
      <c r="B2304" s="197">
        <v>42899</v>
      </c>
      <c r="C2304" s="198">
        <v>13030.22</v>
      </c>
    </row>
    <row r="2305" spans="2:3">
      <c r="B2305" s="197">
        <v>42898</v>
      </c>
      <c r="C2305" s="198">
        <v>13037.83</v>
      </c>
    </row>
    <row r="2306" spans="2:3">
      <c r="B2306" s="197">
        <v>42895</v>
      </c>
      <c r="C2306" s="198">
        <v>13108.12</v>
      </c>
    </row>
    <row r="2307" spans="2:3">
      <c r="B2307" s="197">
        <v>42894</v>
      </c>
      <c r="C2307" s="198">
        <v>13079.63</v>
      </c>
    </row>
    <row r="2308" spans="2:3">
      <c r="B2308" s="197">
        <v>42893</v>
      </c>
      <c r="C2308" s="198">
        <v>13101.62</v>
      </c>
    </row>
    <row r="2309" spans="2:3">
      <c r="B2309" s="197">
        <v>42892</v>
      </c>
      <c r="C2309" s="198">
        <v>13065.33</v>
      </c>
    </row>
    <row r="2310" spans="2:3">
      <c r="B2310" s="197">
        <v>42891</v>
      </c>
      <c r="C2310" s="198">
        <v>13116.78</v>
      </c>
    </row>
    <row r="2311" spans="2:3">
      <c r="B2311" s="197">
        <v>42888</v>
      </c>
      <c r="C2311" s="198">
        <v>13072.98</v>
      </c>
    </row>
    <row r="2312" spans="2:3">
      <c r="B2312" s="197">
        <v>42887</v>
      </c>
      <c r="C2312" s="198">
        <v>13022.35</v>
      </c>
    </row>
    <row r="2313" spans="2:3">
      <c r="B2313" s="197">
        <v>42886</v>
      </c>
      <c r="C2313" s="198">
        <v>13018.69</v>
      </c>
    </row>
    <row r="2314" spans="2:3">
      <c r="B2314" s="197">
        <v>42885</v>
      </c>
      <c r="C2314" s="198">
        <v>13023.19</v>
      </c>
    </row>
    <row r="2315" spans="2:3">
      <c r="B2315" s="197">
        <v>42884</v>
      </c>
      <c r="C2315" s="198">
        <v>12996.61</v>
      </c>
    </row>
    <row r="2316" spans="2:3">
      <c r="B2316" s="197">
        <v>42881</v>
      </c>
      <c r="C2316" s="198">
        <v>12981.79</v>
      </c>
    </row>
    <row r="2317" spans="2:3">
      <c r="B2317" s="197">
        <v>42880</v>
      </c>
      <c r="C2317" s="198">
        <v>12863.38</v>
      </c>
    </row>
    <row r="2318" spans="2:3">
      <c r="B2318" s="197">
        <v>42879</v>
      </c>
      <c r="C2318" s="198">
        <v>12661.62</v>
      </c>
    </row>
    <row r="2319" spans="2:3">
      <c r="B2319" s="197">
        <v>42878</v>
      </c>
      <c r="C2319" s="198">
        <v>12695.02</v>
      </c>
    </row>
    <row r="2320" spans="2:3">
      <c r="B2320" s="197">
        <v>42877</v>
      </c>
      <c r="C2320" s="198">
        <v>12765.48</v>
      </c>
    </row>
    <row r="2321" spans="2:3">
      <c r="B2321" s="197">
        <v>42874</v>
      </c>
      <c r="C2321" s="198">
        <v>12751.43</v>
      </c>
    </row>
    <row r="2322" spans="2:3">
      <c r="B2322" s="197">
        <v>42873</v>
      </c>
      <c r="C2322" s="198">
        <v>12753.55</v>
      </c>
    </row>
    <row r="2323" spans="2:3">
      <c r="B2323" s="197">
        <v>42872</v>
      </c>
      <c r="C2323" s="198">
        <v>12883.83</v>
      </c>
    </row>
    <row r="2324" spans="2:3">
      <c r="B2324" s="197">
        <v>42871</v>
      </c>
      <c r="C2324" s="198">
        <v>12865.56</v>
      </c>
    </row>
    <row r="2325" spans="2:3">
      <c r="B2325" s="197">
        <v>42870</v>
      </c>
      <c r="C2325" s="198">
        <v>12775.11</v>
      </c>
    </row>
    <row r="2326" spans="2:3">
      <c r="B2326" s="197">
        <v>42867</v>
      </c>
      <c r="C2326" s="198">
        <v>12714.97</v>
      </c>
    </row>
    <row r="2327" spans="2:3">
      <c r="B2327" s="197">
        <v>42866</v>
      </c>
      <c r="C2327" s="198">
        <v>12743.99</v>
      </c>
    </row>
    <row r="2328" spans="2:3">
      <c r="B2328" s="197">
        <v>42865</v>
      </c>
      <c r="C2328" s="198">
        <v>12723.6</v>
      </c>
    </row>
    <row r="2329" spans="2:3">
      <c r="B2329" s="197">
        <v>42864</v>
      </c>
      <c r="C2329" s="198">
        <v>12601.23</v>
      </c>
    </row>
    <row r="2330" spans="2:3">
      <c r="B2330" s="197">
        <v>42863</v>
      </c>
      <c r="C2330" s="198">
        <v>12597.5</v>
      </c>
    </row>
    <row r="2331" spans="2:3">
      <c r="B2331" s="197">
        <v>42860</v>
      </c>
      <c r="C2331" s="198">
        <v>12558.6</v>
      </c>
    </row>
    <row r="2332" spans="2:3">
      <c r="B2332" s="197">
        <v>42859</v>
      </c>
      <c r="C2332" s="198">
        <v>12659.51</v>
      </c>
    </row>
    <row r="2333" spans="2:3">
      <c r="B2333" s="197">
        <v>42858</v>
      </c>
      <c r="C2333" s="198">
        <v>12593.58</v>
      </c>
    </row>
    <row r="2334" spans="2:3">
      <c r="B2334" s="197">
        <v>42857</v>
      </c>
      <c r="C2334" s="198">
        <v>12596.08</v>
      </c>
    </row>
    <row r="2335" spans="2:3">
      <c r="B2335" s="197">
        <v>42853</v>
      </c>
      <c r="C2335" s="198">
        <v>12582.88</v>
      </c>
    </row>
    <row r="2336" spans="2:3">
      <c r="B2336" s="197">
        <v>42852</v>
      </c>
      <c r="C2336" s="198">
        <v>12634.41</v>
      </c>
    </row>
    <row r="2337" spans="2:3">
      <c r="B2337" s="197">
        <v>42851</v>
      </c>
      <c r="C2337" s="198">
        <v>12647.53</v>
      </c>
    </row>
    <row r="2338" spans="2:3">
      <c r="B2338" s="197">
        <v>42850</v>
      </c>
      <c r="C2338" s="198">
        <v>12586.34</v>
      </c>
    </row>
    <row r="2339" spans="2:3">
      <c r="B2339" s="197">
        <v>42849</v>
      </c>
      <c r="C2339" s="198">
        <v>12466.46</v>
      </c>
    </row>
    <row r="2340" spans="2:3">
      <c r="B2340" s="197">
        <v>42846</v>
      </c>
      <c r="C2340" s="198">
        <v>12333.17</v>
      </c>
    </row>
    <row r="2341" spans="2:3">
      <c r="B2341" s="197">
        <v>42845</v>
      </c>
      <c r="C2341" s="198">
        <v>12356.2</v>
      </c>
    </row>
    <row r="2342" spans="2:3">
      <c r="B2342" s="197">
        <v>42844</v>
      </c>
      <c r="C2342" s="198">
        <v>12311.67</v>
      </c>
    </row>
    <row r="2343" spans="2:3">
      <c r="B2343" s="197">
        <v>42843</v>
      </c>
      <c r="C2343" s="198">
        <v>12313.9</v>
      </c>
    </row>
    <row r="2344" spans="2:3">
      <c r="B2344" s="197">
        <v>42842</v>
      </c>
      <c r="C2344" s="198">
        <v>12360.11</v>
      </c>
    </row>
    <row r="2345" spans="2:3">
      <c r="B2345" s="197">
        <v>42838</v>
      </c>
      <c r="C2345" s="198">
        <v>12375.68</v>
      </c>
    </row>
    <row r="2346" spans="2:3">
      <c r="B2346" s="197">
        <v>42837</v>
      </c>
      <c r="C2346" s="198">
        <v>12446.84</v>
      </c>
    </row>
    <row r="2347" spans="2:3">
      <c r="B2347" s="197">
        <v>42836</v>
      </c>
      <c r="C2347" s="198">
        <v>12492.24</v>
      </c>
    </row>
    <row r="2348" spans="2:3">
      <c r="B2348" s="197">
        <v>42835</v>
      </c>
      <c r="C2348" s="198">
        <v>12417.07</v>
      </c>
    </row>
    <row r="2349" spans="2:3">
      <c r="B2349" s="197">
        <v>42832</v>
      </c>
      <c r="C2349" s="198">
        <v>12439.9</v>
      </c>
    </row>
    <row r="2350" spans="2:3">
      <c r="B2350" s="197">
        <v>42831</v>
      </c>
      <c r="C2350" s="198">
        <v>12525.97</v>
      </c>
    </row>
    <row r="2351" spans="2:3">
      <c r="B2351" s="197">
        <v>42830</v>
      </c>
      <c r="C2351" s="198">
        <v>12530.31</v>
      </c>
    </row>
    <row r="2352" spans="2:3">
      <c r="B2352" s="197">
        <v>42828</v>
      </c>
      <c r="C2352" s="198">
        <v>12493.39</v>
      </c>
    </row>
    <row r="2353" spans="2:3">
      <c r="B2353" s="197">
        <v>42825</v>
      </c>
      <c r="C2353" s="198">
        <v>12406.69</v>
      </c>
    </row>
    <row r="2354" spans="2:3">
      <c r="B2354" s="197">
        <v>42824</v>
      </c>
      <c r="C2354" s="198">
        <v>12404.41</v>
      </c>
    </row>
    <row r="2355" spans="2:3">
      <c r="B2355" s="197">
        <v>42823</v>
      </c>
      <c r="C2355" s="198">
        <v>12363.95</v>
      </c>
    </row>
    <row r="2356" spans="2:3">
      <c r="B2356" s="197">
        <v>42822</v>
      </c>
      <c r="C2356" s="198">
        <v>12305.77</v>
      </c>
    </row>
    <row r="2357" spans="2:3">
      <c r="B2357" s="197">
        <v>42821</v>
      </c>
      <c r="C2357" s="198">
        <v>12230.63</v>
      </c>
    </row>
    <row r="2358" spans="2:3">
      <c r="B2358" s="197">
        <v>42818</v>
      </c>
      <c r="C2358" s="198">
        <v>12314.98</v>
      </c>
    </row>
    <row r="2359" spans="2:3">
      <c r="B2359" s="197">
        <v>42817</v>
      </c>
      <c r="C2359" s="198">
        <v>12283.35</v>
      </c>
    </row>
    <row r="2360" spans="2:3">
      <c r="B2360" s="197">
        <v>42816</v>
      </c>
      <c r="C2360" s="198">
        <v>12207.85</v>
      </c>
    </row>
    <row r="2361" spans="2:3">
      <c r="B2361" s="197">
        <v>42815</v>
      </c>
      <c r="C2361" s="198">
        <v>12330.92</v>
      </c>
    </row>
    <row r="2362" spans="2:3">
      <c r="B2362" s="197">
        <v>42814</v>
      </c>
      <c r="C2362" s="198">
        <v>12338.14</v>
      </c>
    </row>
    <row r="2363" spans="2:3">
      <c r="B2363" s="197">
        <v>42811</v>
      </c>
      <c r="C2363" s="198">
        <v>12383.04</v>
      </c>
    </row>
    <row r="2364" spans="2:3">
      <c r="B2364" s="197">
        <v>42810</v>
      </c>
      <c r="C2364" s="198">
        <v>12374.48</v>
      </c>
    </row>
    <row r="2365" spans="2:3">
      <c r="B2365" s="197">
        <v>42809</v>
      </c>
      <c r="C2365" s="198">
        <v>12278.23</v>
      </c>
    </row>
    <row r="2366" spans="2:3">
      <c r="B2366" s="197">
        <v>42808</v>
      </c>
      <c r="C2366" s="198">
        <v>12281.22</v>
      </c>
    </row>
    <row r="2367" spans="2:3">
      <c r="B2367" s="197">
        <v>42804</v>
      </c>
      <c r="C2367" s="198">
        <v>12066.4</v>
      </c>
    </row>
    <row r="2368" spans="2:3">
      <c r="B2368" s="197">
        <v>42803</v>
      </c>
      <c r="C2368" s="198">
        <v>12056.17</v>
      </c>
    </row>
    <row r="2369" spans="2:3">
      <c r="B2369" s="197">
        <v>42802</v>
      </c>
      <c r="C2369" s="198">
        <v>12050.77</v>
      </c>
    </row>
    <row r="2370" spans="2:3">
      <c r="B2370" s="197">
        <v>42801</v>
      </c>
      <c r="C2370" s="198">
        <v>12081.34</v>
      </c>
    </row>
    <row r="2371" spans="2:3">
      <c r="B2371" s="197">
        <v>42800</v>
      </c>
      <c r="C2371" s="198">
        <v>12103.68</v>
      </c>
    </row>
    <row r="2372" spans="2:3">
      <c r="B2372" s="197">
        <v>42797</v>
      </c>
      <c r="C2372" s="198">
        <v>12014.7</v>
      </c>
    </row>
    <row r="2373" spans="2:3">
      <c r="B2373" s="197">
        <v>42796</v>
      </c>
      <c r="C2373" s="198">
        <v>12017.63</v>
      </c>
    </row>
    <row r="2374" spans="2:3">
      <c r="B2374" s="197">
        <v>42795</v>
      </c>
      <c r="C2374" s="198">
        <v>12079.8</v>
      </c>
    </row>
    <row r="2375" spans="2:3">
      <c r="B2375" s="197">
        <v>42794</v>
      </c>
      <c r="C2375" s="198">
        <v>11990.44</v>
      </c>
    </row>
    <row r="2376" spans="2:3">
      <c r="B2376" s="197">
        <v>42793</v>
      </c>
      <c r="C2376" s="198">
        <v>12009.8</v>
      </c>
    </row>
    <row r="2377" spans="2:3">
      <c r="B2377" s="197">
        <v>42789</v>
      </c>
      <c r="C2377" s="198">
        <v>12067.61</v>
      </c>
    </row>
    <row r="2378" spans="2:3">
      <c r="B2378" s="197">
        <v>42788</v>
      </c>
      <c r="C2378" s="198">
        <v>12050.54</v>
      </c>
    </row>
    <row r="2379" spans="2:3">
      <c r="B2379" s="197">
        <v>42787</v>
      </c>
      <c r="C2379" s="198">
        <v>12024.88</v>
      </c>
    </row>
    <row r="2380" spans="2:3">
      <c r="B2380" s="197">
        <v>42786</v>
      </c>
      <c r="C2380" s="198">
        <v>11986.21</v>
      </c>
    </row>
    <row r="2381" spans="2:3">
      <c r="B2381" s="197">
        <v>42783</v>
      </c>
      <c r="C2381" s="198">
        <v>11908.56</v>
      </c>
    </row>
    <row r="2382" spans="2:3">
      <c r="B2382" s="197">
        <v>42782</v>
      </c>
      <c r="C2382" s="198">
        <v>11849.55</v>
      </c>
    </row>
    <row r="2383" spans="2:3">
      <c r="B2383" s="197">
        <v>42781</v>
      </c>
      <c r="C2383" s="198">
        <v>11776.57</v>
      </c>
    </row>
    <row r="2384" spans="2:3">
      <c r="B2384" s="197">
        <v>42780</v>
      </c>
      <c r="C2384" s="198">
        <v>11865.43</v>
      </c>
    </row>
    <row r="2385" spans="2:3">
      <c r="B2385" s="197">
        <v>42779</v>
      </c>
      <c r="C2385" s="198">
        <v>11882.38</v>
      </c>
    </row>
    <row r="2386" spans="2:3">
      <c r="B2386" s="197">
        <v>42776</v>
      </c>
      <c r="C2386" s="198">
        <v>11866.82</v>
      </c>
    </row>
    <row r="2387" spans="2:3">
      <c r="B2387" s="197">
        <v>42775</v>
      </c>
      <c r="C2387" s="198">
        <v>11846.42</v>
      </c>
    </row>
    <row r="2388" spans="2:3">
      <c r="B2388" s="197">
        <v>42774</v>
      </c>
      <c r="C2388" s="198">
        <v>11833.8</v>
      </c>
    </row>
    <row r="2389" spans="2:3">
      <c r="B2389" s="197">
        <v>42773</v>
      </c>
      <c r="C2389" s="198">
        <v>11832.78</v>
      </c>
    </row>
    <row r="2390" spans="2:3">
      <c r="B2390" s="197">
        <v>42772</v>
      </c>
      <c r="C2390" s="198">
        <v>11874.73</v>
      </c>
    </row>
    <row r="2391" spans="2:3">
      <c r="B2391" s="197">
        <v>42769</v>
      </c>
      <c r="C2391" s="198">
        <v>11793.62</v>
      </c>
    </row>
    <row r="2392" spans="2:3">
      <c r="B2392" s="197">
        <v>42768</v>
      </c>
      <c r="C2392" s="198">
        <v>11784.61</v>
      </c>
    </row>
    <row r="2393" spans="2:3">
      <c r="B2393" s="197">
        <v>42767</v>
      </c>
      <c r="C2393" s="198">
        <v>11758.63</v>
      </c>
    </row>
    <row r="2394" spans="2:3">
      <c r="B2394" s="197">
        <v>42766</v>
      </c>
      <c r="C2394" s="198">
        <v>11548.15</v>
      </c>
    </row>
    <row r="2395" spans="2:3">
      <c r="B2395" s="197">
        <v>42765</v>
      </c>
      <c r="C2395" s="198">
        <v>11644.53</v>
      </c>
    </row>
    <row r="2396" spans="2:3">
      <c r="B2396" s="197">
        <v>42762</v>
      </c>
      <c r="C2396" s="198">
        <v>11656</v>
      </c>
    </row>
    <row r="2397" spans="2:3">
      <c r="B2397" s="197">
        <v>42760</v>
      </c>
      <c r="C2397" s="198">
        <v>11604.09</v>
      </c>
    </row>
    <row r="2398" spans="2:3">
      <c r="B2398" s="197">
        <v>42759</v>
      </c>
      <c r="C2398" s="198">
        <v>11432.83</v>
      </c>
    </row>
    <row r="2399" spans="2:3">
      <c r="B2399" s="197">
        <v>42758</v>
      </c>
      <c r="C2399" s="198">
        <v>11319.09</v>
      </c>
    </row>
    <row r="2400" spans="2:3">
      <c r="B2400" s="197">
        <v>42755</v>
      </c>
      <c r="C2400" s="198">
        <v>11260.99</v>
      </c>
    </row>
    <row r="2401" spans="2:3">
      <c r="B2401" s="197">
        <v>42754</v>
      </c>
      <c r="C2401" s="198">
        <v>11376.62</v>
      </c>
    </row>
    <row r="2402" spans="2:3">
      <c r="B2402" s="197">
        <v>42753</v>
      </c>
      <c r="C2402" s="198">
        <v>11352.22</v>
      </c>
    </row>
    <row r="2403" spans="2:3">
      <c r="B2403" s="197">
        <v>42752</v>
      </c>
      <c r="C2403" s="198">
        <v>11326.62</v>
      </c>
    </row>
    <row r="2404" spans="2:3">
      <c r="B2404" s="197">
        <v>42751</v>
      </c>
      <c r="C2404" s="198">
        <v>11346.57</v>
      </c>
    </row>
    <row r="2405" spans="2:3">
      <c r="B2405" s="197">
        <v>42748</v>
      </c>
      <c r="C2405" s="198">
        <v>11329.78</v>
      </c>
    </row>
    <row r="2406" spans="2:3">
      <c r="B2406" s="197">
        <v>42747</v>
      </c>
      <c r="C2406" s="198">
        <v>11339.04</v>
      </c>
    </row>
    <row r="2407" spans="2:3">
      <c r="B2407" s="197">
        <v>42746</v>
      </c>
      <c r="C2407" s="198">
        <v>11303.19</v>
      </c>
    </row>
    <row r="2408" spans="2:3">
      <c r="B2408" s="197">
        <v>42745</v>
      </c>
      <c r="C2408" s="198">
        <v>11179.04</v>
      </c>
    </row>
    <row r="2409" spans="2:3">
      <c r="B2409" s="197">
        <v>42744</v>
      </c>
      <c r="C2409" s="198">
        <v>11108.2</v>
      </c>
    </row>
    <row r="2410" spans="2:3">
      <c r="B2410" s="197">
        <v>42741</v>
      </c>
      <c r="C2410" s="198">
        <v>11118.62</v>
      </c>
    </row>
    <row r="2411" spans="2:3">
      <c r="B2411" s="197">
        <v>42740</v>
      </c>
      <c r="C2411" s="198">
        <v>11159.12</v>
      </c>
    </row>
    <row r="2412" spans="2:3">
      <c r="B2412" s="197">
        <v>42739</v>
      </c>
      <c r="C2412" s="198">
        <v>11046.76</v>
      </c>
    </row>
    <row r="2413" spans="2:3">
      <c r="B2413" s="197">
        <v>42738</v>
      </c>
      <c r="C2413" s="198">
        <v>11049.08</v>
      </c>
    </row>
    <row r="2414" spans="2:3">
      <c r="B2414" s="197">
        <v>42737</v>
      </c>
      <c r="C2414" s="198">
        <v>11031.91</v>
      </c>
    </row>
    <row r="2415" spans="2:3">
      <c r="B2415" s="197">
        <v>42734</v>
      </c>
      <c r="C2415" s="198">
        <v>11040.41</v>
      </c>
    </row>
    <row r="2416" spans="2:3">
      <c r="B2416" s="197">
        <v>42733</v>
      </c>
      <c r="C2416" s="198">
        <v>10929.53</v>
      </c>
    </row>
    <row r="2417" spans="2:3">
      <c r="B2417" s="197">
        <v>42732</v>
      </c>
      <c r="C2417" s="198">
        <v>10836.85</v>
      </c>
    </row>
    <row r="2418" spans="2:3">
      <c r="B2418" s="197">
        <v>42731</v>
      </c>
      <c r="C2418" s="198">
        <v>10834.12</v>
      </c>
    </row>
    <row r="2419" spans="2:3">
      <c r="B2419" s="197">
        <v>42730</v>
      </c>
      <c r="C2419" s="198">
        <v>10666.06</v>
      </c>
    </row>
    <row r="2420" spans="2:3">
      <c r="B2420" s="197">
        <v>42727</v>
      </c>
      <c r="C2420" s="198">
        <v>10770.6</v>
      </c>
    </row>
    <row r="2421" spans="2:3">
      <c r="B2421" s="197">
        <v>42726</v>
      </c>
      <c r="C2421" s="198">
        <v>10761.65</v>
      </c>
    </row>
    <row r="2422" spans="2:3">
      <c r="B2422" s="197">
        <v>42725</v>
      </c>
      <c r="C2422" s="198">
        <v>10872.49</v>
      </c>
    </row>
    <row r="2423" spans="2:3">
      <c r="B2423" s="197">
        <v>42724</v>
      </c>
      <c r="C2423" s="198">
        <v>10900.96</v>
      </c>
    </row>
    <row r="2424" spans="2:3">
      <c r="B2424" s="197">
        <v>42723</v>
      </c>
      <c r="C2424" s="198">
        <v>10930.55</v>
      </c>
    </row>
    <row r="2425" spans="2:3">
      <c r="B2425" s="197">
        <v>42720</v>
      </c>
      <c r="C2425" s="198">
        <v>10977.91</v>
      </c>
    </row>
    <row r="2426" spans="2:3">
      <c r="B2426" s="197">
        <v>42719</v>
      </c>
      <c r="C2426" s="198">
        <v>10997.01</v>
      </c>
    </row>
    <row r="2427" spans="2:3">
      <c r="B2427" s="197">
        <v>42718</v>
      </c>
      <c r="C2427" s="198">
        <v>11035.88</v>
      </c>
    </row>
    <row r="2428" spans="2:3">
      <c r="B2428" s="197">
        <v>42717</v>
      </c>
      <c r="C2428" s="198">
        <v>11088.99</v>
      </c>
    </row>
    <row r="2429" spans="2:3">
      <c r="B2429" s="197">
        <v>42716</v>
      </c>
      <c r="C2429" s="198">
        <v>11020.15</v>
      </c>
    </row>
    <row r="2430" spans="2:3">
      <c r="B2430" s="197">
        <v>42713</v>
      </c>
      <c r="C2430" s="198">
        <v>11142.82</v>
      </c>
    </row>
    <row r="2431" spans="2:3">
      <c r="B2431" s="197">
        <v>42712</v>
      </c>
      <c r="C2431" s="198">
        <v>11122.75</v>
      </c>
    </row>
    <row r="2432" spans="2:3">
      <c r="B2432" s="197">
        <v>42711</v>
      </c>
      <c r="C2432" s="198">
        <v>10927.43</v>
      </c>
    </row>
    <row r="2433" spans="2:3">
      <c r="B2433" s="197">
        <v>42710</v>
      </c>
      <c r="C2433" s="198">
        <v>10982.89</v>
      </c>
    </row>
    <row r="2434" spans="2:3">
      <c r="B2434" s="197">
        <v>42709</v>
      </c>
      <c r="C2434" s="198">
        <v>10963.49</v>
      </c>
    </row>
    <row r="2435" spans="2:3">
      <c r="B2435" s="197">
        <v>42706</v>
      </c>
      <c r="C2435" s="198">
        <v>10906.86</v>
      </c>
    </row>
    <row r="2436" spans="2:3">
      <c r="B2436" s="197">
        <v>42705</v>
      </c>
      <c r="C2436" s="198">
        <v>11050</v>
      </c>
    </row>
    <row r="2437" spans="2:3">
      <c r="B2437" s="197">
        <v>42704</v>
      </c>
      <c r="C2437" s="198">
        <v>11092.59</v>
      </c>
    </row>
    <row r="2438" spans="2:3">
      <c r="B2438" s="197">
        <v>42703</v>
      </c>
      <c r="C2438" s="198">
        <v>10981.54</v>
      </c>
    </row>
    <row r="2439" spans="2:3">
      <c r="B2439" s="197">
        <v>42702</v>
      </c>
      <c r="C2439" s="198">
        <v>10960.97</v>
      </c>
    </row>
    <row r="2440" spans="2:3">
      <c r="B2440" s="197">
        <v>42699</v>
      </c>
      <c r="C2440" s="198">
        <v>10943.99</v>
      </c>
    </row>
    <row r="2441" spans="2:3">
      <c r="B2441" s="197">
        <v>42698</v>
      </c>
      <c r="C2441" s="198">
        <v>10743.28</v>
      </c>
    </row>
    <row r="2442" spans="2:3">
      <c r="B2442" s="197">
        <v>42697</v>
      </c>
      <c r="C2442" s="198">
        <v>10834.59</v>
      </c>
    </row>
    <row r="2443" spans="2:3">
      <c r="B2443" s="197">
        <v>42696</v>
      </c>
      <c r="C2443" s="198">
        <v>10792.82</v>
      </c>
    </row>
    <row r="2444" spans="2:3">
      <c r="B2444" s="197">
        <v>42695</v>
      </c>
      <c r="C2444" s="198">
        <v>10694.09</v>
      </c>
    </row>
    <row r="2445" spans="2:3">
      <c r="B2445" s="197">
        <v>42692</v>
      </c>
      <c r="C2445" s="198">
        <v>10889.64</v>
      </c>
    </row>
    <row r="2446" spans="2:3">
      <c r="B2446" s="197">
        <v>42691</v>
      </c>
      <c r="C2446" s="198">
        <v>10897.55</v>
      </c>
    </row>
    <row r="2447" spans="2:3">
      <c r="B2447" s="197">
        <v>42690</v>
      </c>
      <c r="C2447" s="198">
        <v>10940.23</v>
      </c>
    </row>
    <row r="2448" spans="2:3">
      <c r="B2448" s="197">
        <v>42689</v>
      </c>
      <c r="C2448" s="198">
        <v>10935.99</v>
      </c>
    </row>
    <row r="2449" spans="2:3">
      <c r="B2449" s="197">
        <v>42685</v>
      </c>
      <c r="C2449" s="198">
        <v>11189.3</v>
      </c>
    </row>
    <row r="2450" spans="2:3">
      <c r="B2450" s="197">
        <v>42684</v>
      </c>
      <c r="C2450" s="198">
        <v>11498.79</v>
      </c>
    </row>
    <row r="2451" spans="2:3">
      <c r="B2451" s="197">
        <v>42683</v>
      </c>
      <c r="C2451" s="198">
        <v>11372.35</v>
      </c>
    </row>
    <row r="2452" spans="2:3">
      <c r="B2452" s="197">
        <v>42682</v>
      </c>
      <c r="C2452" s="198">
        <v>11522.76</v>
      </c>
    </row>
    <row r="2453" spans="2:3">
      <c r="B2453" s="197">
        <v>42681</v>
      </c>
      <c r="C2453" s="198">
        <v>11460.08</v>
      </c>
    </row>
    <row r="2454" spans="2:3">
      <c r="B2454" s="197">
        <v>42678</v>
      </c>
      <c r="C2454" s="198">
        <v>11374.71</v>
      </c>
    </row>
    <row r="2455" spans="2:3">
      <c r="B2455" s="197">
        <v>42677</v>
      </c>
      <c r="C2455" s="198">
        <v>11443.72</v>
      </c>
    </row>
    <row r="2456" spans="2:3">
      <c r="B2456" s="197">
        <v>42676</v>
      </c>
      <c r="C2456" s="198">
        <v>11479.94</v>
      </c>
    </row>
    <row r="2457" spans="2:3">
      <c r="B2457" s="197">
        <v>42675</v>
      </c>
      <c r="C2457" s="198">
        <v>11631.33</v>
      </c>
    </row>
    <row r="2458" spans="2:3">
      <c r="B2458" s="197">
        <v>42673</v>
      </c>
      <c r="C2458" s="198">
        <v>11628.32</v>
      </c>
    </row>
    <row r="2459" spans="2:3">
      <c r="B2459" s="197">
        <v>42671</v>
      </c>
      <c r="C2459" s="198">
        <v>11644.89</v>
      </c>
    </row>
    <row r="2460" spans="2:3">
      <c r="B2460" s="197">
        <v>42670</v>
      </c>
      <c r="C2460" s="198">
        <v>11614.18</v>
      </c>
    </row>
    <row r="2461" spans="2:3">
      <c r="B2461" s="197">
        <v>42669</v>
      </c>
      <c r="C2461" s="198">
        <v>11612.99</v>
      </c>
    </row>
    <row r="2462" spans="2:3">
      <c r="B2462" s="197">
        <v>42668</v>
      </c>
      <c r="C2462" s="198">
        <v>11715.45</v>
      </c>
    </row>
    <row r="2463" spans="2:3">
      <c r="B2463" s="197">
        <v>42667</v>
      </c>
      <c r="C2463" s="198">
        <v>11739.24</v>
      </c>
    </row>
    <row r="2464" spans="2:3">
      <c r="B2464" s="197">
        <v>42664</v>
      </c>
      <c r="C2464" s="198">
        <v>11716.57</v>
      </c>
    </row>
    <row r="2465" spans="2:3">
      <c r="B2465" s="197">
        <v>42663</v>
      </c>
      <c r="C2465" s="198">
        <v>11717.04</v>
      </c>
    </row>
    <row r="2466" spans="2:3">
      <c r="B2466" s="197">
        <v>42662</v>
      </c>
      <c r="C2466" s="198">
        <v>11662.81</v>
      </c>
    </row>
    <row r="2467" spans="2:3">
      <c r="B2467" s="197">
        <v>42661</v>
      </c>
      <c r="C2467" s="198">
        <v>11688.13</v>
      </c>
    </row>
    <row r="2468" spans="2:3">
      <c r="B2468" s="197">
        <v>42660</v>
      </c>
      <c r="C2468" s="198">
        <v>11475.97</v>
      </c>
    </row>
    <row r="2469" spans="2:3">
      <c r="B2469" s="197">
        <v>42657</v>
      </c>
      <c r="C2469" s="198">
        <v>11560.81</v>
      </c>
    </row>
    <row r="2470" spans="2:3">
      <c r="B2470" s="197">
        <v>42656</v>
      </c>
      <c r="C2470" s="198">
        <v>11547.3</v>
      </c>
    </row>
    <row r="2471" spans="2:3">
      <c r="B2471" s="197">
        <v>42653</v>
      </c>
      <c r="C2471" s="198">
        <v>11729.75</v>
      </c>
    </row>
    <row r="2472" spans="2:3">
      <c r="B2472" s="197">
        <v>42650</v>
      </c>
      <c r="C2472" s="198">
        <v>11714.65</v>
      </c>
    </row>
    <row r="2473" spans="2:3">
      <c r="B2473" s="197">
        <v>42649</v>
      </c>
      <c r="C2473" s="198">
        <v>11730.75</v>
      </c>
    </row>
    <row r="2474" spans="2:3">
      <c r="B2474" s="197">
        <v>42648</v>
      </c>
      <c r="C2474" s="198">
        <v>11777.1</v>
      </c>
    </row>
    <row r="2475" spans="2:3">
      <c r="B2475" s="197">
        <v>42647</v>
      </c>
      <c r="C2475" s="198">
        <v>11811.04</v>
      </c>
    </row>
    <row r="2476" spans="2:3">
      <c r="B2476" s="197">
        <v>42646</v>
      </c>
      <c r="C2476" s="198">
        <v>11769.16</v>
      </c>
    </row>
    <row r="2477" spans="2:3">
      <c r="B2477" s="197">
        <v>42643</v>
      </c>
      <c r="C2477" s="198">
        <v>11598.22</v>
      </c>
    </row>
    <row r="2478" spans="2:3">
      <c r="B2478" s="197">
        <v>42642</v>
      </c>
      <c r="C2478" s="198">
        <v>11571.4</v>
      </c>
    </row>
    <row r="2479" spans="2:3">
      <c r="B2479" s="197">
        <v>42641</v>
      </c>
      <c r="C2479" s="198">
        <v>11778.71</v>
      </c>
    </row>
    <row r="2480" spans="2:3">
      <c r="B2480" s="197">
        <v>42640</v>
      </c>
      <c r="C2480" s="198">
        <v>11726.49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L43"/>
  <sheetViews>
    <sheetView showGridLines="0" topLeftCell="A21" workbookViewId="0">
      <selection activeCell="D43" sqref="D43"/>
    </sheetView>
  </sheetViews>
  <sheetFormatPr defaultColWidth="12.6328125" defaultRowHeight="14.5"/>
  <cols>
    <col min="1" max="1" width="1.81640625" customWidth="1"/>
    <col min="2" max="2" width="40.6328125" customWidth="1"/>
    <col min="3" max="3" width="8.7265625" customWidth="1"/>
    <col min="4" max="4" width="12.6328125" customWidth="1"/>
  </cols>
  <sheetData>
    <row r="2" spans="2:12" ht="21">
      <c r="B2" s="185" t="str">
        <f>'Ratio Analysis'!B2</f>
        <v>Britannia Industries Ltd</v>
      </c>
      <c r="C2" s="183"/>
      <c r="D2" s="183"/>
      <c r="E2" s="183"/>
      <c r="F2" s="183"/>
      <c r="G2" s="183"/>
      <c r="H2" s="183"/>
      <c r="I2" s="183"/>
      <c r="J2" s="183"/>
      <c r="K2" s="183"/>
    </row>
    <row r="3" spans="2:12">
      <c r="B3" s="184" t="s">
        <v>325</v>
      </c>
      <c r="C3" s="183"/>
      <c r="D3" s="183"/>
      <c r="E3" s="183"/>
      <c r="F3" s="183"/>
      <c r="G3" s="183"/>
      <c r="H3" s="183"/>
      <c r="I3" s="183"/>
      <c r="J3" s="183"/>
      <c r="K3" s="183"/>
    </row>
    <row r="5" spans="2:12">
      <c r="B5" s="203" t="s">
        <v>326</v>
      </c>
      <c r="C5" s="202"/>
      <c r="D5" s="202"/>
      <c r="E5" s="202"/>
      <c r="F5" s="202"/>
      <c r="G5" s="202"/>
      <c r="H5" s="202"/>
      <c r="I5" s="202"/>
      <c r="J5" s="202"/>
      <c r="K5" s="202"/>
      <c r="L5" s="204"/>
    </row>
    <row r="7" spans="2:12">
      <c r="B7" s="214"/>
      <c r="C7" s="217"/>
      <c r="D7" s="200" t="s">
        <v>327</v>
      </c>
      <c r="E7" s="200" t="s">
        <v>328</v>
      </c>
      <c r="F7" s="200" t="s">
        <v>329</v>
      </c>
      <c r="G7" s="200" t="s">
        <v>329</v>
      </c>
      <c r="H7" s="200" t="s">
        <v>330</v>
      </c>
      <c r="I7" s="200" t="s">
        <v>331</v>
      </c>
      <c r="J7" s="200" t="s">
        <v>332</v>
      </c>
    </row>
    <row r="8" spans="2:12">
      <c r="B8" s="218" t="s">
        <v>304</v>
      </c>
      <c r="C8" s="218"/>
      <c r="D8" s="201" t="s">
        <v>333</v>
      </c>
      <c r="E8" s="201" t="s">
        <v>138</v>
      </c>
      <c r="F8" s="201" t="s">
        <v>90</v>
      </c>
      <c r="G8" s="201" t="s">
        <v>334</v>
      </c>
      <c r="H8" s="201" t="s">
        <v>335</v>
      </c>
      <c r="I8" s="201" t="s">
        <v>336</v>
      </c>
      <c r="J8" s="201" t="s">
        <v>336</v>
      </c>
    </row>
    <row r="9" spans="2:12">
      <c r="B9" t="s">
        <v>285</v>
      </c>
      <c r="D9" s="224">
        <f>Model!E137</f>
        <v>262750.158</v>
      </c>
      <c r="E9" s="224">
        <f>Model!F137</f>
        <v>444.16</v>
      </c>
      <c r="F9" s="225">
        <f>E9/D9</f>
        <v>1.6904271471456166E-3</v>
      </c>
      <c r="G9" s="225">
        <f>E9/SUM(D9:E9)</f>
        <v>1.6875744255238827E-3</v>
      </c>
      <c r="H9" s="228">
        <f>'Comps Data'!O3</f>
        <v>0.23535700000000001</v>
      </c>
      <c r="I9" s="221">
        <v>0.42</v>
      </c>
      <c r="J9" s="222">
        <f>I9/(1+(1-H9)*F9)</f>
        <v>0.41945782002761656</v>
      </c>
    </row>
    <row r="10" spans="2:12">
      <c r="B10" t="s">
        <v>479</v>
      </c>
      <c r="D10" s="224">
        <f>Model!E138</f>
        <v>3138.0755000000004</v>
      </c>
      <c r="E10" s="224">
        <f>Model!F138</f>
        <v>154.03</v>
      </c>
      <c r="F10" s="225">
        <f>E10/D10</f>
        <v>4.9084223754336055E-2</v>
      </c>
      <c r="G10" s="225">
        <f>E10/SUM(D10:E10)</f>
        <v>4.6787686482100882E-2</v>
      </c>
      <c r="H10" s="228">
        <f>'Comps Data'!O5</f>
        <v>0.25389800000000001</v>
      </c>
      <c r="I10" s="221">
        <v>0.8</v>
      </c>
      <c r="J10" s="222">
        <f>I10/(1+(1-H10)*F10)</f>
        <v>0.77173755274191835</v>
      </c>
    </row>
    <row r="11" spans="2:12">
      <c r="B11" t="s">
        <v>289</v>
      </c>
      <c r="D11" s="224">
        <f>Model!E139</f>
        <v>14388.926500000001</v>
      </c>
      <c r="E11" s="224">
        <f>Model!F139</f>
        <v>216.92</v>
      </c>
      <c r="F11" s="225">
        <f>E11/D11</f>
        <v>1.5075481829725099E-2</v>
      </c>
      <c r="G11" s="225">
        <f>E11/SUM(D11:E11)</f>
        <v>1.4851586999767522E-2</v>
      </c>
      <c r="H11" s="228">
        <f>'Comps Data'!O6</f>
        <v>0.26396399999999998</v>
      </c>
      <c r="I11" s="221">
        <v>0.23</v>
      </c>
      <c r="J11" s="222">
        <f>I11/(1+(1-H11)*F11)</f>
        <v>0.22747590521234398</v>
      </c>
    </row>
    <row r="12" spans="2:12">
      <c r="B12" t="s">
        <v>286</v>
      </c>
      <c r="D12" s="224">
        <f>Model!E140</f>
        <v>10017.696000000002</v>
      </c>
      <c r="E12" s="224">
        <f>Model!F140</f>
        <v>1590.43</v>
      </c>
      <c r="F12" s="225">
        <f>E12/D12</f>
        <v>0.15876205466805937</v>
      </c>
      <c r="G12" s="225">
        <f>E12/SUM(D12:E12)</f>
        <v>0.13701005657588483</v>
      </c>
      <c r="H12" s="228">
        <f>'Comps Data'!O7</f>
        <v>0.25300400000000001</v>
      </c>
      <c r="I12" s="221">
        <v>0.61</v>
      </c>
      <c r="J12" s="222">
        <f>I12/(1+(1-H12)*F12)</f>
        <v>0.54532713568313185</v>
      </c>
    </row>
    <row r="13" spans="2:12">
      <c r="B13" t="s">
        <v>287</v>
      </c>
      <c r="D13" s="224">
        <f>Model!E141</f>
        <v>6618.3060000000005</v>
      </c>
      <c r="E13" s="224">
        <f>Model!F141</f>
        <v>170.6</v>
      </c>
      <c r="F13" s="225">
        <f>E13/D13</f>
        <v>2.5776988854851978E-2</v>
      </c>
      <c r="G13" s="225">
        <f>E13/SUM(D13:E13)</f>
        <v>2.5129232898496456E-2</v>
      </c>
      <c r="H13" s="228">
        <f>'Comps Data'!O8</f>
        <v>0.24890399999999999</v>
      </c>
      <c r="I13" s="221">
        <v>0.17</v>
      </c>
      <c r="J13" s="222">
        <f>I13/(1+(1-H13)*F13)</f>
        <v>0.16677114499235726</v>
      </c>
    </row>
    <row r="15" spans="2:12">
      <c r="B15" s="229" t="s">
        <v>338</v>
      </c>
      <c r="C15" s="229"/>
      <c r="D15" s="229"/>
      <c r="E15" s="229"/>
      <c r="F15" s="230">
        <f>AVERAGE(F9:F13)</f>
        <v>5.007783525082362E-2</v>
      </c>
      <c r="G15" s="230">
        <f>AVERAGE(G9:G13)</f>
        <v>4.5093227476354712E-2</v>
      </c>
      <c r="H15" s="230">
        <f>AVERAGE(H9:H13)</f>
        <v>0.25102539999999995</v>
      </c>
      <c r="I15" s="231">
        <f>AVERAGE(I9:I13)</f>
        <v>0.44600000000000001</v>
      </c>
      <c r="J15" s="231">
        <f>AVERAGE(J9:J13)</f>
        <v>0.42615391173147366</v>
      </c>
    </row>
    <row r="16" spans="2:12">
      <c r="B16" s="229" t="s">
        <v>311</v>
      </c>
      <c r="C16" s="229"/>
      <c r="D16" s="229"/>
      <c r="E16" s="229"/>
      <c r="F16" s="230">
        <f>MEDIAN(F9:F13)</f>
        <v>2.5776988854851978E-2</v>
      </c>
      <c r="G16" s="230">
        <f>MEDIAN(G9:G13)</f>
        <v>2.5129232898496456E-2</v>
      </c>
      <c r="H16" s="230">
        <f>MEDIAN(H9:H13)</f>
        <v>0.25300400000000001</v>
      </c>
      <c r="I16" s="231">
        <f>MEDIAN(I9:I13)</f>
        <v>0.42</v>
      </c>
      <c r="J16" s="231">
        <f>MEDIAN(J9:J13)</f>
        <v>0.41945782002761656</v>
      </c>
    </row>
    <row r="18" spans="1:10">
      <c r="B18" s="213" t="s">
        <v>288</v>
      </c>
      <c r="D18" s="224">
        <f>Model!E135</f>
        <v>118944.375</v>
      </c>
      <c r="E18" s="224">
        <f>Model!F135</f>
        <v>1380.28</v>
      </c>
      <c r="F18" s="225">
        <f>E18/D18</f>
        <v>1.1604415929715044E-2</v>
      </c>
      <c r="G18" s="225">
        <f>E18/SUM(D18:E18)</f>
        <v>1.1471298213986153E-2</v>
      </c>
      <c r="H18" s="228">
        <f>'Comps Data'!O4</f>
        <v>0.22889899999999999</v>
      </c>
      <c r="I18" s="221">
        <v>0.41</v>
      </c>
      <c r="J18" s="222">
        <f>I18/(1+(1-H18)*F18)</f>
        <v>0.40636378503571485</v>
      </c>
    </row>
    <row r="20" spans="1:10">
      <c r="A20" t="s">
        <v>7</v>
      </c>
      <c r="B20" s="207" t="s">
        <v>339</v>
      </c>
      <c r="C20" s="206"/>
      <c r="D20" s="206"/>
      <c r="E20" s="206"/>
      <c r="F20" s="206"/>
      <c r="G20" s="206"/>
      <c r="H20" s="206"/>
      <c r="I20" s="206"/>
      <c r="J20" s="206"/>
    </row>
    <row r="22" spans="1:10">
      <c r="B22" s="212" t="s">
        <v>340</v>
      </c>
      <c r="C22" s="223"/>
      <c r="D22" s="223"/>
    </row>
    <row r="23" spans="1:10">
      <c r="B23" t="s">
        <v>341</v>
      </c>
      <c r="D23" s="211">
        <f>G15</f>
        <v>4.5093227476354712E-2</v>
      </c>
    </row>
    <row r="24" spans="1:10">
      <c r="B24" s="205" t="s">
        <v>342</v>
      </c>
      <c r="D24" s="215">
        <f>1-D23</f>
        <v>0.95490677252364531</v>
      </c>
    </row>
    <row r="26" spans="1:10">
      <c r="B26" s="212" t="s">
        <v>343</v>
      </c>
      <c r="C26" s="223"/>
      <c r="D26" s="223"/>
    </row>
    <row r="27" spans="1:10">
      <c r="B27" t="s">
        <v>344</v>
      </c>
      <c r="D27" s="210">
        <f>D18</f>
        <v>118944.375</v>
      </c>
    </row>
    <row r="28" spans="1:10">
      <c r="B28" t="s">
        <v>345</v>
      </c>
      <c r="D28" s="210">
        <f>E18</f>
        <v>1380.28</v>
      </c>
    </row>
    <row r="29" spans="1:10">
      <c r="B29" t="s">
        <v>262</v>
      </c>
      <c r="D29" s="211">
        <f>D28/D27</f>
        <v>1.1604415929715044E-2</v>
      </c>
    </row>
    <row r="31" spans="1:10">
      <c r="B31" s="212" t="s">
        <v>346</v>
      </c>
      <c r="C31" s="223"/>
      <c r="D31" s="223"/>
    </row>
    <row r="32" spans="1:10">
      <c r="B32" t="s">
        <v>347</v>
      </c>
      <c r="D32" s="211">
        <f>Model!H29</f>
        <v>7.0136126075400304E-2</v>
      </c>
    </row>
    <row r="33" spans="2:4">
      <c r="B33" t="s">
        <v>337</v>
      </c>
      <c r="D33" s="215">
        <f>H18</f>
        <v>0.22889899999999999</v>
      </c>
    </row>
    <row r="34" spans="2:4">
      <c r="B34" s="209" t="s">
        <v>348</v>
      </c>
      <c r="C34" s="209"/>
      <c r="D34" s="232">
        <f>D32*(1-D33)</f>
        <v>5.408203695286725E-2</v>
      </c>
    </row>
    <row r="36" spans="2:4">
      <c r="B36" s="212" t="s">
        <v>349</v>
      </c>
      <c r="C36" s="223"/>
      <c r="D36" s="223"/>
    </row>
    <row r="37" spans="2:4">
      <c r="B37" t="s">
        <v>350</v>
      </c>
      <c r="D37" s="219">
        <v>7.1199999999999999E-2</v>
      </c>
    </row>
    <row r="38" spans="2:4">
      <c r="B38" t="s">
        <v>317</v>
      </c>
      <c r="D38" s="220">
        <f>'Market Return'!H9</f>
        <v>0.11613538618153751</v>
      </c>
    </row>
    <row r="39" spans="2:4">
      <c r="B39" t="s">
        <v>351</v>
      </c>
      <c r="D39" s="215">
        <f>D38-D37</f>
        <v>4.4935386181537515E-2</v>
      </c>
    </row>
    <row r="40" spans="2:4">
      <c r="B40" t="s">
        <v>352</v>
      </c>
      <c r="D40" s="216">
        <f>J16*(1+(1-H18)*D29)</f>
        <v>0.42321120273108948</v>
      </c>
    </row>
    <row r="41" spans="2:4">
      <c r="B41" s="209" t="s">
        <v>349</v>
      </c>
      <c r="C41" s="209"/>
      <c r="D41" s="233">
        <f>D37+D39*D40</f>
        <v>9.0217158831074465E-2</v>
      </c>
    </row>
    <row r="42" spans="2:4" ht="15" thickBot="1"/>
    <row r="43" spans="2:4" ht="15" thickBot="1">
      <c r="B43" s="234" t="s">
        <v>353</v>
      </c>
      <c r="C43" s="236"/>
      <c r="D43" s="235">
        <f>D23*D34+D24*D41</f>
        <v>8.8587709560334668E-2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67"/>
  <sheetViews>
    <sheetView showGridLines="0" zoomScale="85" zoomScaleNormal="85" workbookViewId="0"/>
  </sheetViews>
  <sheetFormatPr defaultColWidth="12.6328125" defaultRowHeight="14.5"/>
  <cols>
    <col min="1" max="1" width="1.81640625" customWidth="1"/>
  </cols>
  <sheetData>
    <row r="1" spans="1:11">
      <c r="A1" t="s">
        <v>291</v>
      </c>
    </row>
    <row r="2" spans="1:11" ht="21">
      <c r="B2" s="208" t="str">
        <f>'Ratio Analysis'!B2</f>
        <v>Britannia Industries Ltd</v>
      </c>
      <c r="C2" s="206"/>
      <c r="D2" s="206"/>
      <c r="E2" s="206"/>
      <c r="F2" s="206"/>
      <c r="G2" s="238"/>
      <c r="H2" s="238"/>
      <c r="I2" s="238"/>
      <c r="J2" s="238"/>
      <c r="K2" s="238"/>
    </row>
    <row r="3" spans="1:11">
      <c r="B3" s="207" t="s">
        <v>354</v>
      </c>
      <c r="C3" s="206"/>
      <c r="D3" s="206"/>
      <c r="E3" s="206"/>
      <c r="F3" s="206"/>
      <c r="G3" s="238"/>
      <c r="H3" s="238"/>
      <c r="I3" s="238"/>
      <c r="J3" s="238"/>
      <c r="K3" s="238"/>
    </row>
    <row r="4" spans="1:11" ht="15" thickBot="1"/>
    <row r="5" spans="1:11">
      <c r="B5" s="239"/>
      <c r="C5" s="239" t="s">
        <v>321</v>
      </c>
      <c r="D5" s="239" t="s">
        <v>355</v>
      </c>
      <c r="E5" s="239" t="s">
        <v>356</v>
      </c>
      <c r="F5" s="239" t="s">
        <v>357</v>
      </c>
      <c r="H5" s="244" t="s">
        <v>336</v>
      </c>
      <c r="I5" s="352">
        <f>SLOPE(F8:F67,D8:D67)</f>
        <v>-0.13364938622621156</v>
      </c>
    </row>
    <row r="6" spans="1:11" ht="15" thickBot="1">
      <c r="B6" s="240" t="s">
        <v>318</v>
      </c>
      <c r="C6" s="240" t="s">
        <v>320</v>
      </c>
      <c r="D6" s="240" t="s">
        <v>358</v>
      </c>
      <c r="E6" s="240" t="s">
        <v>320</v>
      </c>
      <c r="F6" s="240" t="s">
        <v>358</v>
      </c>
    </row>
    <row r="7" spans="1:11">
      <c r="B7" s="242">
        <v>44440</v>
      </c>
      <c r="C7" s="252">
        <v>59126.36</v>
      </c>
      <c r="D7" s="249" t="s">
        <v>119</v>
      </c>
      <c r="E7" s="252">
        <v>3982</v>
      </c>
      <c r="F7" s="249" t="s">
        <v>119</v>
      </c>
      <c r="H7" s="237"/>
    </row>
    <row r="8" spans="1:11">
      <c r="B8" s="243">
        <v>44470</v>
      </c>
      <c r="C8" s="252">
        <v>59306.93</v>
      </c>
      <c r="D8" s="241">
        <f>C8/C7-1</f>
        <v>3.0539678072520893E-3</v>
      </c>
      <c r="E8" s="252">
        <v>3960</v>
      </c>
      <c r="F8" s="241">
        <f>E8/E7-1</f>
        <v>-5.5248618784530246E-3</v>
      </c>
      <c r="H8" t="s">
        <v>359</v>
      </c>
    </row>
    <row r="9" spans="1:11" ht="15" thickBot="1">
      <c r="B9" s="243">
        <v>44501</v>
      </c>
      <c r="C9" s="252">
        <v>57064.87</v>
      </c>
      <c r="D9" s="241">
        <f t="shared" ref="D9:D67" si="0">C9/C8-1</f>
        <v>-3.7804351026094252E-2</v>
      </c>
      <c r="E9" s="252">
        <v>3675</v>
      </c>
      <c r="F9" s="241">
        <f t="shared" ref="F9:F67" si="1">E9/E8-1</f>
        <v>-7.1969696969697017E-2</v>
      </c>
    </row>
    <row r="10" spans="1:11">
      <c r="B10" s="243">
        <v>44531</v>
      </c>
      <c r="C10" s="252">
        <v>58253.82</v>
      </c>
      <c r="D10" s="241">
        <f t="shared" si="0"/>
        <v>2.0835060169242414E-2</v>
      </c>
      <c r="E10" s="252">
        <v>3588</v>
      </c>
      <c r="F10" s="241">
        <f t="shared" si="1"/>
        <v>-2.3673469387755053E-2</v>
      </c>
      <c r="H10" s="248" t="s">
        <v>360</v>
      </c>
      <c r="I10" s="248"/>
    </row>
    <row r="11" spans="1:11">
      <c r="B11" s="243">
        <v>44562</v>
      </c>
      <c r="C11" s="252">
        <v>58014.17</v>
      </c>
      <c r="D11" s="241">
        <f t="shared" si="0"/>
        <v>-4.113893303477778E-3</v>
      </c>
      <c r="E11" s="252">
        <v>3606.7</v>
      </c>
      <c r="F11" s="241">
        <f t="shared" si="1"/>
        <v>5.2118171683388503E-3</v>
      </c>
      <c r="H11" s="245" t="s">
        <v>361</v>
      </c>
      <c r="I11" s="245">
        <v>8.0998582192455051E-2</v>
      </c>
    </row>
    <row r="12" spans="1:11">
      <c r="B12" s="243">
        <v>44593</v>
      </c>
      <c r="C12" s="252">
        <v>56247.28</v>
      </c>
      <c r="D12" s="241">
        <f t="shared" si="0"/>
        <v>-3.0456179929834404E-2</v>
      </c>
      <c r="E12" s="252">
        <v>3584.9</v>
      </c>
      <c r="F12" s="241">
        <f t="shared" si="1"/>
        <v>-6.0443064297002191E-3</v>
      </c>
      <c r="H12" s="245" t="s">
        <v>362</v>
      </c>
      <c r="I12" s="245">
        <v>6.5607703171878962E-3</v>
      </c>
    </row>
    <row r="13" spans="1:11">
      <c r="B13" s="243">
        <v>44621</v>
      </c>
      <c r="C13" s="252">
        <v>58568.51</v>
      </c>
      <c r="D13" s="241">
        <f t="shared" si="0"/>
        <v>4.1268306663006626E-2</v>
      </c>
      <c r="E13" s="252">
        <v>3406</v>
      </c>
      <c r="F13" s="241">
        <f t="shared" si="1"/>
        <v>-4.990376300594157E-2</v>
      </c>
      <c r="H13" s="245" t="s">
        <v>363</v>
      </c>
      <c r="I13" s="245">
        <v>-1.0567492263550244E-2</v>
      </c>
    </row>
    <row r="14" spans="1:11">
      <c r="B14" s="243">
        <v>44652</v>
      </c>
      <c r="C14" s="252">
        <v>57060.87</v>
      </c>
      <c r="D14" s="241">
        <f t="shared" si="0"/>
        <v>-2.5741477800954815E-2</v>
      </c>
      <c r="E14" s="252">
        <v>3193</v>
      </c>
      <c r="F14" s="241">
        <f t="shared" si="1"/>
        <v>-6.2536699941280083E-2</v>
      </c>
      <c r="H14" s="245" t="s">
        <v>364</v>
      </c>
      <c r="I14" s="245">
        <v>6.2428225835097544E-2</v>
      </c>
    </row>
    <row r="15" spans="1:11" ht="15" thickBot="1">
      <c r="B15" s="243">
        <v>44682</v>
      </c>
      <c r="C15" s="252">
        <v>55566.41</v>
      </c>
      <c r="D15" s="241">
        <f t="shared" si="0"/>
        <v>-2.6190627657797672E-2</v>
      </c>
      <c r="E15" s="252">
        <v>3244</v>
      </c>
      <c r="F15" s="241">
        <f t="shared" si="1"/>
        <v>1.5972439711869679E-2</v>
      </c>
      <c r="H15" s="246" t="s">
        <v>365</v>
      </c>
      <c r="I15" s="246">
        <v>60</v>
      </c>
    </row>
    <row r="16" spans="1:11">
      <c r="B16" s="243">
        <v>44713</v>
      </c>
      <c r="C16" s="252">
        <v>53018.94</v>
      </c>
      <c r="D16" s="241">
        <f t="shared" si="0"/>
        <v>-4.5845502705681329E-2</v>
      </c>
      <c r="E16" s="252">
        <v>3656.2</v>
      </c>
      <c r="F16" s="241">
        <f t="shared" si="1"/>
        <v>0.12706535141800246</v>
      </c>
    </row>
    <row r="17" spans="2:16" ht="15" thickBot="1">
      <c r="B17" s="243">
        <v>44743</v>
      </c>
      <c r="C17" s="252">
        <v>57570.25</v>
      </c>
      <c r="D17" s="241">
        <f t="shared" si="0"/>
        <v>8.5843096825398479E-2</v>
      </c>
      <c r="E17" s="252">
        <v>3435</v>
      </c>
      <c r="F17" s="241">
        <f t="shared" si="1"/>
        <v>-6.0499972649198597E-2</v>
      </c>
      <c r="H17" t="s">
        <v>366</v>
      </c>
    </row>
    <row r="18" spans="2:16">
      <c r="B18" s="243">
        <v>44774</v>
      </c>
      <c r="C18" s="252">
        <v>59537.07</v>
      </c>
      <c r="D18" s="241">
        <f t="shared" si="0"/>
        <v>3.4163825934401926E-2</v>
      </c>
      <c r="E18" s="252">
        <v>3900.85</v>
      </c>
      <c r="F18" s="241">
        <f t="shared" si="1"/>
        <v>0.13561863173216882</v>
      </c>
      <c r="H18" s="247"/>
      <c r="I18" s="247" t="s">
        <v>370</v>
      </c>
      <c r="J18" s="247" t="s">
        <v>371</v>
      </c>
      <c r="K18" s="247" t="s">
        <v>372</v>
      </c>
      <c r="L18" s="247" t="s">
        <v>373</v>
      </c>
      <c r="M18" s="247" t="s">
        <v>374</v>
      </c>
    </row>
    <row r="19" spans="2:16">
      <c r="B19" s="243">
        <v>44805</v>
      </c>
      <c r="C19" s="252">
        <v>57426.92</v>
      </c>
      <c r="D19" s="241">
        <f t="shared" si="0"/>
        <v>-3.5442624233943731E-2</v>
      </c>
      <c r="E19" s="252">
        <v>3743.6</v>
      </c>
      <c r="F19" s="241">
        <f t="shared" si="1"/>
        <v>-4.0311726931309799E-2</v>
      </c>
      <c r="H19" s="245" t="s">
        <v>367</v>
      </c>
      <c r="I19" s="245">
        <v>1</v>
      </c>
      <c r="J19" s="245">
        <v>1.4928064654934903E-3</v>
      </c>
      <c r="K19" s="245">
        <v>1.4928064654934903E-3</v>
      </c>
      <c r="L19" s="245">
        <v>0.38303770077450322</v>
      </c>
      <c r="M19" s="245">
        <v>0.5384053076278521</v>
      </c>
    </row>
    <row r="20" spans="2:16">
      <c r="B20" s="243">
        <v>44835</v>
      </c>
      <c r="C20" s="252">
        <v>60746.59</v>
      </c>
      <c r="D20" s="241">
        <f t="shared" si="0"/>
        <v>5.7806861311733293E-2</v>
      </c>
      <c r="E20" s="252">
        <v>3843.05</v>
      </c>
      <c r="F20" s="241">
        <f t="shared" si="1"/>
        <v>2.6565338177155784E-2</v>
      </c>
      <c r="H20" s="245" t="s">
        <v>368</v>
      </c>
      <c r="I20" s="245">
        <v>58</v>
      </c>
      <c r="J20" s="245">
        <v>0.22604243609324054</v>
      </c>
      <c r="K20" s="245">
        <v>3.8972833809179405E-3</v>
      </c>
      <c r="L20" s="245"/>
      <c r="M20" s="245"/>
    </row>
    <row r="21" spans="2:16" ht="15" thickBot="1">
      <c r="B21" s="243">
        <v>44866</v>
      </c>
      <c r="C21" s="252">
        <v>63099.65</v>
      </c>
      <c r="D21" s="241">
        <f t="shared" si="0"/>
        <v>3.8735672241026364E-2</v>
      </c>
      <c r="E21" s="252">
        <v>3762</v>
      </c>
      <c r="F21" s="241">
        <f t="shared" si="1"/>
        <v>-2.1090019645854219E-2</v>
      </c>
      <c r="H21" s="246" t="s">
        <v>76</v>
      </c>
      <c r="I21" s="246">
        <v>59</v>
      </c>
      <c r="J21" s="246">
        <v>0.22753524255873403</v>
      </c>
      <c r="K21" s="246"/>
      <c r="L21" s="246"/>
      <c r="M21" s="246"/>
    </row>
    <row r="22" spans="2:16" ht="15" thickBot="1">
      <c r="B22" s="243">
        <v>44896</v>
      </c>
      <c r="C22" s="252">
        <v>60840.74</v>
      </c>
      <c r="D22" s="241">
        <f t="shared" si="0"/>
        <v>-3.5799089218403024E-2</v>
      </c>
      <c r="E22" s="252">
        <v>4379.75</v>
      </c>
      <c r="F22" s="241">
        <f t="shared" si="1"/>
        <v>0.16420786815523658</v>
      </c>
    </row>
    <row r="23" spans="2:16">
      <c r="B23" s="243">
        <v>44927</v>
      </c>
      <c r="C23" s="252">
        <v>59549.9</v>
      </c>
      <c r="D23" s="241">
        <f t="shared" si="0"/>
        <v>-2.1216704464804281E-2</v>
      </c>
      <c r="E23" s="252">
        <v>4379.8</v>
      </c>
      <c r="F23" s="241">
        <f t="shared" si="1"/>
        <v>1.1416176722400806E-5</v>
      </c>
      <c r="H23" s="247"/>
      <c r="I23" s="247" t="s">
        <v>375</v>
      </c>
      <c r="J23" s="247" t="s">
        <v>364</v>
      </c>
      <c r="K23" s="247" t="s">
        <v>376</v>
      </c>
      <c r="L23" s="247" t="s">
        <v>377</v>
      </c>
      <c r="M23" s="247" t="s">
        <v>378</v>
      </c>
      <c r="N23" s="247" t="s">
        <v>379</v>
      </c>
      <c r="O23" s="247" t="s">
        <v>380</v>
      </c>
      <c r="P23" s="247" t="s">
        <v>381</v>
      </c>
    </row>
    <row r="24" spans="2:16">
      <c r="B24" s="243">
        <v>44958</v>
      </c>
      <c r="C24" s="252">
        <v>58962.12</v>
      </c>
      <c r="D24" s="241">
        <f t="shared" si="0"/>
        <v>-9.8703776160833367E-3</v>
      </c>
      <c r="E24" s="252">
        <v>4354.95</v>
      </c>
      <c r="F24" s="241">
        <f t="shared" si="1"/>
        <v>-5.6737750582219748E-3</v>
      </c>
      <c r="H24" s="245" t="s">
        <v>369</v>
      </c>
      <c r="I24" s="245">
        <v>7.2287281419836447E-3</v>
      </c>
      <c r="J24" s="245">
        <v>8.1158217015195756E-3</v>
      </c>
      <c r="K24" s="245">
        <v>0.8906957801488129</v>
      </c>
      <c r="L24" s="245">
        <v>0.37677236028527417</v>
      </c>
      <c r="M24" s="245">
        <v>-9.0168540561534234E-3</v>
      </c>
      <c r="N24" s="245">
        <v>2.3474310340120711E-2</v>
      </c>
      <c r="O24" s="245">
        <v>-9.0168540561534234E-3</v>
      </c>
      <c r="P24" s="245">
        <v>2.3474310340120711E-2</v>
      </c>
    </row>
    <row r="25" spans="2:16" ht="15" thickBot="1">
      <c r="B25" s="243">
        <v>44986</v>
      </c>
      <c r="C25" s="252">
        <v>58991.519999999997</v>
      </c>
      <c r="D25" s="241">
        <f t="shared" si="0"/>
        <v>4.9862521903887291E-4</v>
      </c>
      <c r="E25" s="252">
        <v>4445</v>
      </c>
      <c r="F25" s="241">
        <f t="shared" si="1"/>
        <v>2.0677619720088636E-2</v>
      </c>
      <c r="H25" s="246" t="s">
        <v>382</v>
      </c>
      <c r="I25" s="246">
        <v>-0.13364938622621167</v>
      </c>
      <c r="J25" s="246">
        <v>0.21594651899458517</v>
      </c>
      <c r="K25" s="246">
        <v>-0.61890039648920159</v>
      </c>
      <c r="L25" s="246">
        <v>0.53840530762785876</v>
      </c>
      <c r="M25" s="246">
        <v>-0.56591330893797398</v>
      </c>
      <c r="N25" s="246">
        <v>0.29861453648555059</v>
      </c>
      <c r="O25" s="246">
        <v>-0.56591330893797398</v>
      </c>
      <c r="P25" s="246">
        <v>0.29861453648555059</v>
      </c>
    </row>
    <row r="26" spans="2:16">
      <c r="B26" s="243">
        <v>45017</v>
      </c>
      <c r="C26" s="252">
        <v>61112.44</v>
      </c>
      <c r="D26" s="241">
        <f t="shared" si="0"/>
        <v>3.5952964087041739E-2</v>
      </c>
      <c r="E26" s="252">
        <v>4324</v>
      </c>
      <c r="F26" s="241">
        <f t="shared" si="1"/>
        <v>-2.7221597300337463E-2</v>
      </c>
    </row>
    <row r="27" spans="2:16">
      <c r="B27" s="243">
        <v>45047</v>
      </c>
      <c r="C27" s="252">
        <v>62622.239999999998</v>
      </c>
      <c r="D27" s="241">
        <f t="shared" si="0"/>
        <v>2.4705280954254061E-2</v>
      </c>
      <c r="E27" s="252">
        <v>4553</v>
      </c>
      <c r="F27" s="241">
        <f t="shared" si="1"/>
        <v>5.2960222016651182E-2</v>
      </c>
    </row>
    <row r="28" spans="2:16">
      <c r="B28" s="243">
        <v>45078</v>
      </c>
      <c r="C28" s="252">
        <v>64718.559999999998</v>
      </c>
      <c r="D28" s="241">
        <f t="shared" si="0"/>
        <v>3.3475646990589913E-2</v>
      </c>
      <c r="E28" s="252">
        <v>4679.95</v>
      </c>
      <c r="F28" s="241">
        <f t="shared" si="1"/>
        <v>2.7882714693608479E-2</v>
      </c>
    </row>
    <row r="29" spans="2:16">
      <c r="B29" s="243">
        <v>45108</v>
      </c>
      <c r="C29" s="252">
        <v>66527.67</v>
      </c>
      <c r="D29" s="241">
        <f t="shared" si="0"/>
        <v>2.7953495875062684E-2</v>
      </c>
      <c r="E29" s="252">
        <v>5010.05</v>
      </c>
      <c r="F29" s="241">
        <f t="shared" si="1"/>
        <v>7.0534941612624191E-2</v>
      </c>
      <c r="H29" s="237"/>
    </row>
    <row r="30" spans="2:16">
      <c r="B30" s="243">
        <v>45139</v>
      </c>
      <c r="C30" s="252">
        <v>64831.41</v>
      </c>
      <c r="D30" s="241">
        <f t="shared" si="0"/>
        <v>-2.5497060095445945E-2</v>
      </c>
      <c r="E30" s="252">
        <v>4760.1000000000004</v>
      </c>
      <c r="F30" s="241">
        <f t="shared" si="1"/>
        <v>-4.9889721659464481E-2</v>
      </c>
      <c r="H30" s="237"/>
    </row>
    <row r="31" spans="2:16">
      <c r="B31" s="243">
        <v>45170</v>
      </c>
      <c r="C31" s="252">
        <v>65828.41</v>
      </c>
      <c r="D31" s="241">
        <f t="shared" si="0"/>
        <v>1.5378348242001794E-2</v>
      </c>
      <c r="E31" s="252">
        <v>4475</v>
      </c>
      <c r="F31" s="241">
        <f t="shared" si="1"/>
        <v>-5.989369971219094E-2</v>
      </c>
      <c r="H31" s="237"/>
    </row>
    <row r="32" spans="2:16">
      <c r="B32" s="243">
        <v>45200</v>
      </c>
      <c r="C32" s="252">
        <v>63874.93</v>
      </c>
      <c r="D32" s="241">
        <f t="shared" si="0"/>
        <v>-2.9675333188208586E-2</v>
      </c>
      <c r="E32" s="252">
        <v>4535.25</v>
      </c>
      <c r="F32" s="241">
        <f t="shared" si="1"/>
        <v>1.3463687150838011E-2</v>
      </c>
      <c r="H32" s="237"/>
    </row>
    <row r="33" spans="2:8">
      <c r="B33" s="243">
        <v>45231</v>
      </c>
      <c r="C33" s="252">
        <v>66988.44</v>
      </c>
      <c r="D33" s="241">
        <f t="shared" si="0"/>
        <v>4.8743849895412916E-2</v>
      </c>
      <c r="E33" s="252">
        <v>4419.55</v>
      </c>
      <c r="F33" s="241">
        <f t="shared" si="1"/>
        <v>-2.551127280745269E-2</v>
      </c>
      <c r="H33" s="237"/>
    </row>
    <row r="34" spans="2:8">
      <c r="B34" s="243">
        <v>45261</v>
      </c>
      <c r="C34" s="252">
        <v>72240.259999999995</v>
      </c>
      <c r="D34" s="241">
        <f t="shared" si="0"/>
        <v>7.8398899869887906E-2</v>
      </c>
      <c r="E34" s="252">
        <v>4862</v>
      </c>
      <c r="F34" s="241">
        <f t="shared" si="1"/>
        <v>0.10011200235318074</v>
      </c>
      <c r="H34" s="237"/>
    </row>
    <row r="35" spans="2:8">
      <c r="B35" s="243">
        <v>45292</v>
      </c>
      <c r="C35" s="252">
        <v>71752.11</v>
      </c>
      <c r="D35" s="241">
        <f t="shared" si="0"/>
        <v>-6.7573123352545617E-3</v>
      </c>
      <c r="E35" s="252">
        <v>5290.65</v>
      </c>
      <c r="F35" s="241">
        <f t="shared" si="1"/>
        <v>8.8163307280954228E-2</v>
      </c>
      <c r="H35" s="237"/>
    </row>
    <row r="36" spans="2:8">
      <c r="B36" s="243">
        <v>45323</v>
      </c>
      <c r="C36" s="252">
        <v>72500.3</v>
      </c>
      <c r="D36" s="241">
        <f t="shared" si="0"/>
        <v>1.0427428545306983E-2</v>
      </c>
      <c r="E36" s="252">
        <v>5182.3500000000004</v>
      </c>
      <c r="F36" s="241">
        <f t="shared" si="1"/>
        <v>-2.0470074565506979E-2</v>
      </c>
      <c r="H36" s="237"/>
    </row>
    <row r="37" spans="2:8">
      <c r="B37" s="243">
        <v>45352</v>
      </c>
      <c r="C37" s="252">
        <v>73651.350000000006</v>
      </c>
      <c r="D37" s="241">
        <f t="shared" si="0"/>
        <v>1.5876486028333803E-2</v>
      </c>
      <c r="E37" s="252">
        <v>4999.5</v>
      </c>
      <c r="F37" s="241">
        <f t="shared" si="1"/>
        <v>-3.528322093258851E-2</v>
      </c>
      <c r="H37" s="237"/>
    </row>
    <row r="38" spans="2:8">
      <c r="B38" s="243">
        <v>45383</v>
      </c>
      <c r="C38" s="252">
        <v>74482.78</v>
      </c>
      <c r="D38" s="241">
        <f t="shared" si="0"/>
        <v>1.1288727226316908E-2</v>
      </c>
      <c r="E38" s="252">
        <v>4911.8</v>
      </c>
      <c r="F38" s="241">
        <f t="shared" si="1"/>
        <v>-1.7541754175417479E-2</v>
      </c>
      <c r="H38" s="237"/>
    </row>
    <row r="39" spans="2:8">
      <c r="B39" s="243">
        <v>45413</v>
      </c>
      <c r="C39" s="252">
        <v>73961.31</v>
      </c>
      <c r="D39" s="241">
        <f t="shared" si="0"/>
        <v>-7.0012155829843881E-3</v>
      </c>
      <c r="E39" s="252">
        <v>4785.1000000000004</v>
      </c>
      <c r="F39" s="241">
        <f t="shared" si="1"/>
        <v>-2.5795024227370789E-2</v>
      </c>
      <c r="H39" s="237"/>
    </row>
    <row r="40" spans="2:8">
      <c r="B40" s="243">
        <v>45444</v>
      </c>
      <c r="C40" s="252">
        <v>79032.73</v>
      </c>
      <c r="D40" s="241">
        <f t="shared" si="0"/>
        <v>6.8568552936663751E-2</v>
      </c>
      <c r="E40" s="252">
        <v>5185.7</v>
      </c>
      <c r="F40" s="241">
        <f t="shared" si="1"/>
        <v>8.3718208605880529E-2</v>
      </c>
      <c r="H40" s="237"/>
    </row>
    <row r="41" spans="2:8">
      <c r="B41" s="243">
        <v>45474</v>
      </c>
      <c r="C41" s="252">
        <v>81741.34</v>
      </c>
      <c r="D41" s="241">
        <f t="shared" si="0"/>
        <v>3.427200351044446E-2</v>
      </c>
      <c r="E41" s="252">
        <v>5480</v>
      </c>
      <c r="F41" s="241">
        <f t="shared" si="1"/>
        <v>5.6752222457913115E-2</v>
      </c>
      <c r="H41" s="237"/>
    </row>
    <row r="42" spans="2:8">
      <c r="B42" s="243">
        <v>45505</v>
      </c>
      <c r="C42" s="252">
        <v>82365.77</v>
      </c>
      <c r="D42" s="241">
        <f t="shared" si="0"/>
        <v>7.6390966920778514E-3</v>
      </c>
      <c r="E42" s="252">
        <v>5785</v>
      </c>
      <c r="F42" s="241">
        <f t="shared" si="1"/>
        <v>5.5656934306569372E-2</v>
      </c>
      <c r="H42" s="237"/>
    </row>
    <row r="43" spans="2:8">
      <c r="B43" s="243">
        <v>45536</v>
      </c>
      <c r="C43" s="252">
        <v>84299.78</v>
      </c>
      <c r="D43" s="241">
        <f t="shared" si="0"/>
        <v>2.3480749345268004E-2</v>
      </c>
      <c r="E43" s="252">
        <v>5875.35</v>
      </c>
      <c r="F43" s="241">
        <f t="shared" si="1"/>
        <v>1.5617977528090021E-2</v>
      </c>
      <c r="H43" s="237"/>
    </row>
    <row r="44" spans="2:8">
      <c r="B44" s="243">
        <v>45566</v>
      </c>
      <c r="C44" s="252">
        <v>79389.06</v>
      </c>
      <c r="D44" s="241">
        <f t="shared" si="0"/>
        <v>-5.8253058311658723E-2</v>
      </c>
      <c r="E44" s="252">
        <v>6338.15</v>
      </c>
      <c r="F44" s="241">
        <f t="shared" si="1"/>
        <v>7.8769775417634635E-2</v>
      </c>
      <c r="H44" s="237"/>
    </row>
    <row r="45" spans="2:8">
      <c r="B45" s="243">
        <v>45597</v>
      </c>
      <c r="C45" s="252">
        <v>79802.789999999994</v>
      </c>
      <c r="D45" s="241">
        <f t="shared" si="0"/>
        <v>5.2114233371700625E-3</v>
      </c>
      <c r="E45" s="252">
        <v>5700.05</v>
      </c>
      <c r="F45" s="241">
        <f t="shared" si="1"/>
        <v>-0.10067606478231017</v>
      </c>
      <c r="H45" s="237"/>
    </row>
    <row r="46" spans="2:8">
      <c r="B46" s="243">
        <v>45627</v>
      </c>
      <c r="C46" s="252">
        <v>78139.009999999995</v>
      </c>
      <c r="D46" s="241">
        <f t="shared" si="0"/>
        <v>-2.0848644514809611E-2</v>
      </c>
      <c r="E46" s="252">
        <v>4930</v>
      </c>
      <c r="F46" s="241">
        <f t="shared" si="1"/>
        <v>-0.13509530618152477</v>
      </c>
      <c r="H46" s="237"/>
    </row>
    <row r="47" spans="2:8">
      <c r="B47" s="243">
        <v>45658</v>
      </c>
      <c r="C47" s="252">
        <v>77500.570000000007</v>
      </c>
      <c r="D47" s="241">
        <f t="shared" si="0"/>
        <v>-8.1705667885987321E-3</v>
      </c>
      <c r="E47" s="252">
        <v>4770</v>
      </c>
      <c r="F47" s="241">
        <f t="shared" si="1"/>
        <v>-3.2454361054766734E-2</v>
      </c>
      <c r="H47" s="237"/>
    </row>
    <row r="48" spans="2:8">
      <c r="B48" s="243">
        <v>45689</v>
      </c>
      <c r="C48" s="252">
        <v>73198.100000000006</v>
      </c>
      <c r="D48" s="241">
        <f t="shared" si="0"/>
        <v>-5.5515333629159169E-2</v>
      </c>
      <c r="E48" s="252">
        <v>5130.1000000000004</v>
      </c>
      <c r="F48" s="241">
        <f t="shared" si="1"/>
        <v>7.5492662473794603E-2</v>
      </c>
      <c r="H48" s="237"/>
    </row>
    <row r="49" spans="2:8">
      <c r="B49" s="243">
        <v>45717</v>
      </c>
      <c r="C49" s="252">
        <v>77414.92</v>
      </c>
      <c r="D49" s="241">
        <f t="shared" si="0"/>
        <v>5.760832589916931E-2</v>
      </c>
      <c r="E49" s="252">
        <v>4565.2</v>
      </c>
      <c r="F49" s="241">
        <f t="shared" si="1"/>
        <v>-0.11011481257675304</v>
      </c>
      <c r="H49" s="237"/>
    </row>
    <row r="50" spans="2:8">
      <c r="B50" s="243">
        <v>45748</v>
      </c>
      <c r="C50" s="252">
        <v>80242.240000000005</v>
      </c>
      <c r="D50" s="241">
        <f t="shared" si="0"/>
        <v>3.652164208139741E-2</v>
      </c>
      <c r="E50" s="252">
        <v>4875.2</v>
      </c>
      <c r="F50" s="241">
        <f t="shared" si="1"/>
        <v>6.7905020590554699E-2</v>
      </c>
      <c r="H50" s="237"/>
    </row>
    <row r="51" spans="2:8">
      <c r="B51" s="243">
        <v>45778</v>
      </c>
      <c r="C51" s="252">
        <v>81451.009999999995</v>
      </c>
      <c r="D51" s="241">
        <f t="shared" si="0"/>
        <v>1.5064011174164449E-2</v>
      </c>
      <c r="E51" s="252">
        <v>5412.6</v>
      </c>
      <c r="F51" s="241">
        <f t="shared" si="1"/>
        <v>0.11023137512307191</v>
      </c>
      <c r="H51" s="237"/>
    </row>
    <row r="52" spans="2:8">
      <c r="B52" s="243">
        <v>45809</v>
      </c>
      <c r="C52" s="252">
        <v>83606.460000000006</v>
      </c>
      <c r="D52" s="241">
        <f t="shared" si="0"/>
        <v>2.6463146374735125E-2</v>
      </c>
      <c r="E52" s="252">
        <v>5520.05</v>
      </c>
      <c r="F52" s="241">
        <f t="shared" si="1"/>
        <v>1.9851827217972851E-2</v>
      </c>
      <c r="H52" s="237"/>
    </row>
    <row r="53" spans="2:8">
      <c r="B53" s="243">
        <v>45839</v>
      </c>
      <c r="C53" s="252">
        <v>81185.58</v>
      </c>
      <c r="D53" s="241">
        <f t="shared" si="0"/>
        <v>-2.89556572542361E-2</v>
      </c>
      <c r="E53" s="252">
        <v>5863.45</v>
      </c>
      <c r="F53" s="241">
        <f t="shared" si="1"/>
        <v>6.2209581434950811E-2</v>
      </c>
      <c r="H53" s="237"/>
    </row>
    <row r="54" spans="2:8">
      <c r="B54" s="243">
        <v>45870</v>
      </c>
      <c r="C54" s="252">
        <v>79809.649999999994</v>
      </c>
      <c r="D54" s="241">
        <f t="shared" si="0"/>
        <v>-1.6947960462929568E-2</v>
      </c>
      <c r="E54" s="252">
        <v>5764</v>
      </c>
      <c r="F54" s="241">
        <f t="shared" si="1"/>
        <v>-1.6961004186954787E-2</v>
      </c>
      <c r="H54" s="237"/>
    </row>
    <row r="55" spans="2:8">
      <c r="B55" s="243">
        <v>45901</v>
      </c>
      <c r="C55" s="252">
        <v>80267.62</v>
      </c>
      <c r="D55" s="241">
        <f t="shared" si="0"/>
        <v>5.7382785164450389E-3</v>
      </c>
      <c r="E55" s="252">
        <v>5830.05</v>
      </c>
      <c r="F55" s="241">
        <f t="shared" si="1"/>
        <v>1.1459056210964658E-2</v>
      </c>
      <c r="H55" s="237"/>
    </row>
    <row r="56" spans="2:8">
      <c r="B56" s="243">
        <v>45931</v>
      </c>
      <c r="C56" s="252">
        <v>83938.71</v>
      </c>
      <c r="D56" s="241">
        <f t="shared" si="0"/>
        <v>4.5735627890798547E-2</v>
      </c>
      <c r="E56" s="252">
        <v>5985</v>
      </c>
      <c r="F56" s="241">
        <f t="shared" si="1"/>
        <v>2.6577816656804032E-2</v>
      </c>
      <c r="H56" s="237"/>
    </row>
    <row r="57" spans="2:8">
      <c r="B57" s="243">
        <v>45962</v>
      </c>
      <c r="C57" s="252">
        <v>85706.67</v>
      </c>
      <c r="D57" s="241">
        <f t="shared" si="0"/>
        <v>2.1062510967823966E-2</v>
      </c>
      <c r="E57" s="252">
        <v>5821.95</v>
      </c>
      <c r="F57" s="241">
        <f t="shared" si="1"/>
        <v>-2.7243107769423625E-2</v>
      </c>
      <c r="H57" s="237"/>
    </row>
    <row r="58" spans="2:8">
      <c r="B58" s="243">
        <v>45992</v>
      </c>
      <c r="C58" s="252">
        <v>85220.6</v>
      </c>
      <c r="D58" s="241">
        <f t="shared" si="0"/>
        <v>-5.6713205634986164E-3</v>
      </c>
      <c r="E58" s="252">
        <v>5780</v>
      </c>
      <c r="F58" s="241">
        <f t="shared" si="1"/>
        <v>-7.2054895696458399E-3</v>
      </c>
      <c r="H58" s="237"/>
    </row>
    <row r="59" spans="2:8">
      <c r="B59" s="243">
        <v>46023</v>
      </c>
      <c r="C59" s="252">
        <v>82269.78</v>
      </c>
      <c r="D59" s="241">
        <f t="shared" si="0"/>
        <v>-3.4625665625447444E-2</v>
      </c>
      <c r="E59" s="252">
        <v>6030.9</v>
      </c>
      <c r="F59" s="241">
        <f t="shared" si="1"/>
        <v>4.3408304498269823E-2</v>
      </c>
      <c r="H59" s="237"/>
    </row>
    <row r="60" spans="2:8">
      <c r="B60" s="243">
        <v>46054</v>
      </c>
      <c r="C60" s="252">
        <v>81287.19</v>
      </c>
      <c r="D60" s="241">
        <f t="shared" si="0"/>
        <v>-1.1943510727754458E-2</v>
      </c>
      <c r="E60" s="252">
        <v>5856.6</v>
      </c>
      <c r="F60" s="241">
        <f t="shared" si="1"/>
        <v>-2.8901159030990331E-2</v>
      </c>
      <c r="H60" s="237"/>
    </row>
    <row r="61" spans="2:8">
      <c r="B61" s="243">
        <v>46082</v>
      </c>
      <c r="C61" s="252">
        <v>71947.55</v>
      </c>
      <c r="D61" s="241">
        <f t="shared" si="0"/>
        <v>-0.11489682445659644</v>
      </c>
      <c r="E61" s="252">
        <v>5852.05</v>
      </c>
      <c r="F61" s="241">
        <f t="shared" si="1"/>
        <v>-7.76901273776609E-4</v>
      </c>
      <c r="H61" s="237"/>
    </row>
    <row r="62" spans="2:8">
      <c r="B62" s="243">
        <v>46113</v>
      </c>
      <c r="C62" s="252">
        <v>76913.5</v>
      </c>
      <c r="D62" s="241">
        <f t="shared" si="0"/>
        <v>6.9021808247813787E-2</v>
      </c>
      <c r="E62" s="252">
        <v>5450.2</v>
      </c>
      <c r="F62" s="241">
        <f t="shared" si="1"/>
        <v>-6.8668244461342676E-2</v>
      </c>
      <c r="H62" s="237"/>
    </row>
    <row r="63" spans="2:8">
      <c r="B63" s="243">
        <v>46143</v>
      </c>
      <c r="C63" s="252">
        <v>74775.740000000005</v>
      </c>
      <c r="D63" s="241">
        <f t="shared" si="0"/>
        <v>-2.7794340395379202E-2</v>
      </c>
      <c r="E63" s="252">
        <v>5730</v>
      </c>
      <c r="F63" s="241">
        <f t="shared" si="1"/>
        <v>5.1337565593923218E-2</v>
      </c>
      <c r="H63" s="237"/>
    </row>
    <row r="64" spans="2:8">
      <c r="B64" s="243">
        <v>46174</v>
      </c>
      <c r="C64" s="252">
        <v>76478.67</v>
      </c>
      <c r="D64" s="241">
        <f t="shared" si="0"/>
        <v>2.2773830121908478E-2</v>
      </c>
      <c r="E64" s="252">
        <v>5305.2</v>
      </c>
      <c r="F64" s="241">
        <f t="shared" si="1"/>
        <v>-7.4136125654450269E-2</v>
      </c>
      <c r="H64" s="237"/>
    </row>
    <row r="65" spans="2:8">
      <c r="B65" s="243">
        <v>46204</v>
      </c>
      <c r="C65" s="252">
        <v>78094.64</v>
      </c>
      <c r="D65" s="241">
        <f t="shared" si="0"/>
        <v>2.1129682302268193E-2</v>
      </c>
      <c r="E65" s="252">
        <v>5146</v>
      </c>
      <c r="F65" s="241">
        <f t="shared" si="1"/>
        <v>-3.0008293749528736E-2</v>
      </c>
      <c r="H65" s="237"/>
    </row>
    <row r="66" spans="2:8">
      <c r="B66" s="243">
        <v>46235</v>
      </c>
      <c r="C66" s="252">
        <v>76957.27</v>
      </c>
      <c r="D66" s="241">
        <f t="shared" si="0"/>
        <v>-1.4563995685235143E-2</v>
      </c>
      <c r="E66" s="252">
        <v>5502.55</v>
      </c>
      <c r="F66" s="241">
        <f t="shared" si="1"/>
        <v>6.9286824718227891E-2</v>
      </c>
      <c r="H66" s="237"/>
    </row>
    <row r="67" spans="2:8" ht="15" thickBot="1">
      <c r="B67" s="250">
        <v>46266</v>
      </c>
      <c r="C67" s="253">
        <v>73895.740000000005</v>
      </c>
      <c r="D67" s="251">
        <f t="shared" si="0"/>
        <v>-3.9782206411428045E-2</v>
      </c>
      <c r="E67" s="254">
        <v>5296.85</v>
      </c>
      <c r="F67" s="251">
        <f t="shared" si="1"/>
        <v>-3.7382668035728872E-2</v>
      </c>
      <c r="H67" s="23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Index</vt:lpstr>
      <vt:lpstr>Summary</vt:lpstr>
      <vt:lpstr>Assumptions </vt:lpstr>
      <vt:lpstr>Data Sheet</vt:lpstr>
      <vt:lpstr>Model</vt:lpstr>
      <vt:lpstr>Comps Data</vt:lpstr>
      <vt:lpstr>Ratio Analysis</vt:lpstr>
      <vt:lpstr>Market Return</vt:lpstr>
      <vt:lpstr>Beta &amp; WACC </vt:lpstr>
      <vt:lpstr>Beta from Regression</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Godhwani Capital</dc:creator>
  <cp:lastModifiedBy>Godhwani Capital</cp:lastModifiedBy>
  <dcterms:created xsi:type="dcterms:W3CDTF">2026-09-23T19:10:46Z</dcterms:created>
  <dcterms:modified xsi:type="dcterms:W3CDTF">2026-10-11T17:43:48Z</dcterms:modified>
</cp:coreProperties>
</file>